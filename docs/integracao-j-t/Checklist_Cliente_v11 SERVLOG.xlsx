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\\192.168.20.181\Comercial\Cadastros - CLIENTES NE\CLIENTES PRÉ PAGO - REGIONAL NE\SERVLOG\"/>
    </mc:Choice>
  </mc:AlternateContent>
  <xr:revisionPtr revIDLastSave="0" documentId="13_ncr:1_{1472DD71-1604-42B7-9CDA-300D480E448C}" xr6:coauthVersionLast="47" xr6:coauthVersionMax="47" xr10:uidLastSave="{00000000-0000-0000-0000-000000000000}"/>
  <bookViews>
    <workbookView xWindow="2250" yWindow="2250" windowWidth="17670" windowHeight="13110" tabRatio="0" xr2:uid="{2D9E805C-7566-4CC4-9486-C205E37A1864}"/>
  </bookViews>
  <sheets>
    <sheet name="Geral" sheetId="1" r:id="rId1"/>
    <sheet name="Comercial" sheetId="10" r:id="rId2"/>
    <sheet name="Financeiro" sheetId="15" r:id="rId3"/>
    <sheet name="TI" sheetId="13" r:id="rId4"/>
    <sheet name="Operações" sheetId="18" r:id="rId5"/>
    <sheet name="CX" sheetId="19" r:id="rId6"/>
    <sheet name="Apoio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0" l="1"/>
  <c r="N5" i="7" s="1"/>
  <c r="N6" i="7"/>
  <c r="M6" i="7"/>
  <c r="N8" i="7"/>
  <c r="N7" i="7"/>
  <c r="N9" i="7"/>
  <c r="M9" i="7"/>
  <c r="C45" i="13" l="1"/>
  <c r="I48" i="13"/>
  <c r="I46" i="13"/>
  <c r="I45" i="13"/>
  <c r="I43" i="13"/>
  <c r="I42" i="13"/>
  <c r="C49" i="13"/>
  <c r="C48" i="13"/>
  <c r="C39" i="13"/>
  <c r="C40" i="13" s="1"/>
  <c r="C37" i="13"/>
  <c r="C44" i="13"/>
  <c r="I36" i="13"/>
  <c r="I37" i="13"/>
  <c r="I38" i="13"/>
  <c r="I39" i="13"/>
  <c r="I40" i="13"/>
  <c r="I41" i="13"/>
  <c r="I50" i="13"/>
  <c r="I52" i="13"/>
  <c r="N4" i="7"/>
  <c r="O7" i="7"/>
  <c r="C15" i="10"/>
  <c r="O4" i="7" l="1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O8" i="7"/>
  <c r="S9" i="7"/>
  <c r="S8" i="7"/>
  <c r="S7" i="7"/>
  <c r="S6" i="7"/>
  <c r="O6" i="7"/>
  <c r="S5" i="7"/>
  <c r="O5" i="7"/>
  <c r="S4" i="7"/>
  <c r="S3" i="7"/>
  <c r="O9" i="7" l="1"/>
</calcChain>
</file>

<file path=xl/sharedStrings.xml><?xml version="1.0" encoding="utf-8"?>
<sst xmlns="http://schemas.openxmlformats.org/spreadsheetml/2006/main" count="627" uniqueCount="464">
  <si>
    <t>Preenchido:</t>
  </si>
  <si>
    <r>
      <t xml:space="preserve">Razão Social </t>
    </r>
    <r>
      <rPr>
        <sz val="9"/>
        <color theme="0" tint="-0.34998626667073579"/>
        <rFont val="Arial"/>
        <family val="2"/>
      </rPr>
      <t>公司名称:</t>
    </r>
  </si>
  <si>
    <r>
      <t>Nome Fantasia</t>
    </r>
    <r>
      <rPr>
        <sz val="9"/>
        <color theme="0" tint="-0.34998626667073579"/>
        <rFont val="Arial"/>
        <family val="2"/>
      </rPr>
      <t xml:space="preserve"> 公司简称:</t>
    </r>
  </si>
  <si>
    <r>
      <t xml:space="preserve">CNPJ </t>
    </r>
    <r>
      <rPr>
        <sz val="9"/>
        <color theme="0" tint="-0.34998626667073579"/>
        <rFont val="Arial"/>
        <family val="2"/>
      </rPr>
      <t>公司税号:</t>
    </r>
  </si>
  <si>
    <r>
      <t xml:space="preserve">Inscrição Estadual </t>
    </r>
    <r>
      <rPr>
        <sz val="9"/>
        <color theme="0" tint="-0.34998626667073579"/>
        <rFont val="Arial"/>
        <family val="2"/>
      </rPr>
      <t>州号:</t>
    </r>
  </si>
  <si>
    <t>Segmento de Mercado 产品类型:</t>
  </si>
  <si>
    <t>CEP Matriz 总部CEP:</t>
  </si>
  <si>
    <r>
      <t xml:space="preserve">Endereço </t>
    </r>
    <r>
      <rPr>
        <sz val="9"/>
        <color theme="0" tint="-0.34998626667073579"/>
        <rFont val="Arial"/>
        <family val="2"/>
      </rPr>
      <t>地址:</t>
    </r>
  </si>
  <si>
    <r>
      <t xml:space="preserve">Bairro </t>
    </r>
    <r>
      <rPr>
        <sz val="9"/>
        <color theme="0" tint="-0.34998626667073579"/>
        <rFont val="Arial"/>
        <family val="2"/>
      </rPr>
      <t>区域:</t>
    </r>
  </si>
  <si>
    <r>
      <t xml:space="preserve">Cidade </t>
    </r>
    <r>
      <rPr>
        <sz val="9"/>
        <color theme="0" tint="-0.34998626667073579"/>
        <rFont val="Arial"/>
        <family val="2"/>
      </rPr>
      <t>城市:</t>
    </r>
  </si>
  <si>
    <r>
      <t xml:space="preserve">Estado </t>
    </r>
    <r>
      <rPr>
        <sz val="9"/>
        <color theme="0" tint="-0.34998626667073579"/>
        <rFont val="Arial"/>
        <family val="2"/>
      </rPr>
      <t>州:</t>
    </r>
  </si>
  <si>
    <r>
      <t xml:space="preserve">Natureza do negócio </t>
    </r>
    <r>
      <rPr>
        <sz val="9"/>
        <color theme="0" tint="-0.249977111117893"/>
        <rFont val="Arial"/>
        <family val="2"/>
      </rPr>
      <t>业务行业</t>
    </r>
    <r>
      <rPr>
        <sz val="9"/>
        <color theme="1"/>
        <rFont val="Arial"/>
        <family val="2"/>
      </rPr>
      <t xml:space="preserve"> :</t>
    </r>
  </si>
  <si>
    <r>
      <t xml:space="preserve">Documento fiscal </t>
    </r>
    <r>
      <rPr>
        <sz val="9"/>
        <color theme="0" tint="-0.249977111117893"/>
        <rFont val="Arial"/>
        <family val="2"/>
      </rPr>
      <t>税务类型文件 :</t>
    </r>
  </si>
  <si>
    <r>
      <t>Responsável J&amp;T</t>
    </r>
    <r>
      <rPr>
        <sz val="9"/>
        <color theme="0" tint="-0.34998626667073579"/>
        <rFont val="Arial"/>
        <family val="2"/>
      </rPr>
      <t xml:space="preserve"> J&amp;T负责人:</t>
    </r>
  </si>
  <si>
    <r>
      <t xml:space="preserve">Telefone J&amp;T </t>
    </r>
    <r>
      <rPr>
        <sz val="9"/>
        <color theme="0" tint="-0.34998626667073579"/>
        <rFont val="Arial"/>
        <family val="2"/>
      </rPr>
      <t>J&amp;T电话号码:</t>
    </r>
  </si>
  <si>
    <r>
      <t xml:space="preserve">E-mail J&amp;T </t>
    </r>
    <r>
      <rPr>
        <sz val="9"/>
        <color theme="0" tint="-0.34998626667073579"/>
        <rFont val="Arial"/>
        <family val="2"/>
      </rPr>
      <t>J&amp;T邮箱:</t>
    </r>
  </si>
  <si>
    <r>
      <t>Filial J&amp;T</t>
    </r>
    <r>
      <rPr>
        <sz val="9"/>
        <color theme="0" tint="-0.34998626667073579"/>
        <rFont val="Arial"/>
        <family val="2"/>
      </rPr>
      <t xml:space="preserve"> J&amp;T代理区:</t>
    </r>
  </si>
  <si>
    <r>
      <t xml:space="preserve">Nome Contato Comercial </t>
    </r>
    <r>
      <rPr>
        <sz val="9"/>
        <color theme="0" tint="-0.34998626667073579"/>
        <rFont val="Arial"/>
        <family val="2"/>
      </rPr>
      <t>市场部联系人名称:</t>
    </r>
  </si>
  <si>
    <r>
      <t>E-mail</t>
    </r>
    <r>
      <rPr>
        <sz val="9"/>
        <color theme="0" tint="-0.34998626667073579"/>
        <rFont val="Arial"/>
        <family val="2"/>
      </rPr>
      <t xml:space="preserve"> 邮箱:</t>
    </r>
  </si>
  <si>
    <r>
      <t>Telefone</t>
    </r>
    <r>
      <rPr>
        <sz val="9"/>
        <color theme="0" tint="-0.34998626667073579"/>
        <rFont val="Arial"/>
        <family val="2"/>
      </rPr>
      <t>电话号码:</t>
    </r>
  </si>
  <si>
    <r>
      <t>Pedido/Dia Útil (Cliente)</t>
    </r>
    <r>
      <rPr>
        <sz val="9"/>
        <color theme="0" tint="-0.34998626667073579"/>
        <rFont val="Arial"/>
        <family val="2"/>
      </rPr>
      <t>订单/工作日(客户):</t>
    </r>
  </si>
  <si>
    <r>
      <t>Pedido/Dia Útil (J&amp;T)</t>
    </r>
    <r>
      <rPr>
        <sz val="9"/>
        <color theme="0" tint="-0.34998626667073579"/>
        <rFont val="Arial"/>
        <family val="2"/>
      </rPr>
      <t>订单/工作日(J&amp;T):</t>
    </r>
  </si>
  <si>
    <r>
      <t xml:space="preserve">Qtd. Pedidos/Mês (J&amp;T) </t>
    </r>
    <r>
      <rPr>
        <sz val="9"/>
        <color theme="0" tint="-0.34998626667073579"/>
        <rFont val="Arial"/>
        <family val="2"/>
      </rPr>
      <t>货量/月(J&amp;T):</t>
    </r>
  </si>
  <si>
    <r>
      <t xml:space="preserve">TKT Médio J&amp;T </t>
    </r>
    <r>
      <rPr>
        <sz val="9"/>
        <color theme="0" tint="-0.34998626667073579"/>
        <rFont val="Arial"/>
        <family val="2"/>
      </rPr>
      <t>票均运费:</t>
    </r>
  </si>
  <si>
    <r>
      <t xml:space="preserve">Peso Médio/kg </t>
    </r>
    <r>
      <rPr>
        <sz val="9"/>
        <color theme="0" tint="-0.34998626667073579"/>
        <rFont val="Arial"/>
        <family val="2"/>
      </rPr>
      <t>均重/公斤:</t>
    </r>
  </si>
  <si>
    <r>
      <t xml:space="preserve">Modalidade do Serviço </t>
    </r>
    <r>
      <rPr>
        <sz val="9"/>
        <color theme="0" tint="-0.34998626667073579"/>
        <rFont val="Arial"/>
        <family val="2"/>
      </rPr>
      <t>业务类型</t>
    </r>
    <r>
      <rPr>
        <sz val="9"/>
        <color theme="1"/>
        <rFont val="Arial"/>
        <family val="2"/>
      </rPr>
      <t>:</t>
    </r>
  </si>
  <si>
    <r>
      <t xml:space="preserve">Natureza fiscal </t>
    </r>
    <r>
      <rPr>
        <sz val="9"/>
        <color theme="0" tint="-0.34998626667073579"/>
        <rFont val="Arial"/>
        <family val="2"/>
      </rPr>
      <t>税务类型:</t>
    </r>
  </si>
  <si>
    <r>
      <t xml:space="preserve">E-mail para XML de Cte </t>
    </r>
    <r>
      <rPr>
        <sz val="9"/>
        <color theme="0" tint="-0.34998626667073579"/>
        <rFont val="Arial"/>
        <family val="2"/>
      </rPr>
      <t>发送XML的CTE邮箱</t>
    </r>
    <r>
      <rPr>
        <sz val="9"/>
        <color theme="1"/>
        <rFont val="Arial"/>
        <family val="2"/>
      </rPr>
      <t>:</t>
    </r>
  </si>
  <si>
    <r>
      <t xml:space="preserve">Tomador do Serviço </t>
    </r>
    <r>
      <rPr>
        <sz val="9"/>
        <color theme="0" tint="-0.34998626667073579"/>
        <rFont val="Arial"/>
        <family val="2"/>
      </rPr>
      <t>TOMA值</t>
    </r>
    <r>
      <rPr>
        <sz val="9"/>
        <rFont val="Arial"/>
        <family val="2"/>
      </rPr>
      <t>:</t>
    </r>
  </si>
  <si>
    <t>Informações do tomador:</t>
  </si>
  <si>
    <t xml:space="preserve">Coleta no cliente上門取件 </t>
  </si>
  <si>
    <r>
      <t xml:space="preserve">Contato do TI </t>
    </r>
    <r>
      <rPr>
        <sz val="9"/>
        <color theme="0" tint="-0.34998626667073579"/>
        <rFont val="Arial"/>
        <family val="2"/>
      </rPr>
      <t>IT联系人:</t>
    </r>
  </si>
  <si>
    <r>
      <t xml:space="preserve">E-mail </t>
    </r>
    <r>
      <rPr>
        <sz val="9"/>
        <color theme="0" tint="-0.34998626667073579"/>
        <rFont val="Arial"/>
        <family val="2"/>
      </rPr>
      <t>邮箱:</t>
    </r>
  </si>
  <si>
    <r>
      <t xml:space="preserve">Telefone </t>
    </r>
    <r>
      <rPr>
        <sz val="9"/>
        <color theme="0" tint="-0.34998626667073579"/>
        <rFont val="Arial"/>
        <family val="2"/>
      </rPr>
      <t>电话号码:</t>
    </r>
  </si>
  <si>
    <r>
      <t xml:space="preserve">Modelo de Integração  </t>
    </r>
    <r>
      <rPr>
        <sz val="9"/>
        <color theme="0" tint="-0.34998626667073579"/>
        <rFont val="Arial"/>
        <family val="2"/>
      </rPr>
      <t>对接方式:</t>
    </r>
  </si>
  <si>
    <t>API KEY:</t>
  </si>
  <si>
    <r>
      <t xml:space="preserve">E-mail para envio do XML </t>
    </r>
    <r>
      <rPr>
        <sz val="9"/>
        <color theme="0" tint="-0.249977111117893"/>
        <rFont val="Arial"/>
        <family val="2"/>
      </rPr>
      <t>XML发送的电子邮</t>
    </r>
    <r>
      <rPr>
        <sz val="9"/>
        <color theme="1"/>
        <rFont val="Arial"/>
        <family val="2"/>
      </rPr>
      <t xml:space="preserve"> :</t>
    </r>
  </si>
  <si>
    <t xml:space="preserve">Id JMS: </t>
  </si>
  <si>
    <r>
      <t xml:space="preserve">Senha </t>
    </r>
    <r>
      <rPr>
        <sz val="9"/>
        <color theme="3" tint="0.59999389629810485"/>
        <rFont val="Arial"/>
        <family val="2"/>
      </rPr>
      <t>密码</t>
    </r>
    <r>
      <rPr>
        <sz val="9"/>
        <color theme="1"/>
        <rFont val="Arial"/>
        <family val="2"/>
      </rPr>
      <t xml:space="preserve"> :</t>
    </r>
  </si>
  <si>
    <r>
      <t>Pedidos Multiplos</t>
    </r>
    <r>
      <rPr>
        <sz val="9"/>
        <color theme="0" tint="-0.34998626667073579"/>
        <rFont val="Arial"/>
        <family val="2"/>
      </rPr>
      <t xml:space="preserve">一票多件? </t>
    </r>
  </si>
  <si>
    <r>
      <t xml:space="preserve">É multiorigem? </t>
    </r>
    <r>
      <rPr>
        <sz val="9"/>
        <color theme="0" tint="-0.34998626667073579"/>
        <rFont val="Arial"/>
        <family val="2"/>
      </rPr>
      <t xml:space="preserve">是否為多始發地 </t>
    </r>
  </si>
  <si>
    <r>
      <t>Possibilidade de pedidos acima de 30Kg?</t>
    </r>
    <r>
      <rPr>
        <sz val="9"/>
        <color theme="0" tint="-0.34998626667073579"/>
        <rFont val="Arial"/>
        <family val="2"/>
      </rPr>
      <t xml:space="preserve"> 订单是否超过30 KG?</t>
    </r>
  </si>
  <si>
    <r>
      <t xml:space="preserve">Outros cadastros do Grupo
</t>
    </r>
    <r>
      <rPr>
        <sz val="9"/>
        <color theme="0" tint="-0.34998626667073579"/>
        <rFont val="Arial"/>
        <family val="2"/>
      </rPr>
      <t>是否有其他公司税号注册(子公司):</t>
    </r>
  </si>
  <si>
    <r>
      <t xml:space="preserve">Cenário de negócios </t>
    </r>
    <r>
      <rPr>
        <b/>
        <sz val="10"/>
        <color theme="0"/>
        <rFont val="Calibri"/>
        <family val="2"/>
        <scheme val="minor"/>
      </rPr>
      <t>业务场景</t>
    </r>
  </si>
  <si>
    <t>RESPOSTAS</t>
  </si>
  <si>
    <t>Informações do cliente 客户信息</t>
  </si>
  <si>
    <t>Descrição do cliente (apresentação) / 客户描述（背景介绍）</t>
  </si>
  <si>
    <r>
      <t>业务模式</t>
    </r>
    <r>
      <rPr>
        <sz val="9"/>
        <color theme="1"/>
        <rFont val="Arial"/>
        <family val="2"/>
      </rPr>
      <t>（仓配/D2D/C2C）</t>
    </r>
    <r>
      <rPr>
        <b/>
        <sz val="11"/>
        <color theme="1"/>
        <rFont val="Calibri"/>
        <family val="2"/>
        <scheme val="minor"/>
      </rPr>
      <t xml:space="preserve">
Modelo de negócios </t>
    </r>
    <r>
      <rPr>
        <sz val="11"/>
        <color theme="1"/>
        <rFont val="Calibri"/>
        <family val="2"/>
        <scheme val="minor"/>
      </rPr>
      <t>(PA/D2D/C2C)</t>
    </r>
  </si>
  <si>
    <r>
      <t>客户名称</t>
    </r>
    <r>
      <rPr>
        <sz val="9"/>
        <color theme="1"/>
        <rFont val="Arial"/>
        <family val="2"/>
      </rPr>
      <t>（******）</t>
    </r>
    <r>
      <rPr>
        <b/>
        <sz val="11"/>
        <color theme="1"/>
        <rFont val="Calibri"/>
        <family val="2"/>
        <scheme val="minor"/>
      </rPr>
      <t xml:space="preserve">
Nome do cliente</t>
    </r>
  </si>
  <si>
    <r>
      <t>税务类型文件</t>
    </r>
    <r>
      <rPr>
        <sz val="9"/>
        <color theme="1"/>
        <rFont val="Arial"/>
        <family val="2"/>
      </rPr>
      <t>（NFE/NFS-e/CTE/DC）</t>
    </r>
    <r>
      <rPr>
        <b/>
        <sz val="11"/>
        <color theme="1"/>
        <rFont val="Calibri"/>
        <family val="2"/>
        <scheme val="minor"/>
      </rPr>
      <t xml:space="preserve">
Documento fiscal enviado pelo cliente </t>
    </r>
    <r>
      <rPr>
        <sz val="11"/>
        <color theme="1"/>
        <rFont val="Calibri"/>
        <family val="2"/>
        <scheme val="minor"/>
      </rPr>
      <t>（NFE/NFS-e/CTE/DC）</t>
    </r>
  </si>
  <si>
    <r>
      <t>客户编码</t>
    </r>
    <r>
      <rPr>
        <sz val="9"/>
        <color theme="1"/>
        <rFont val="Arial"/>
        <family val="2"/>
      </rPr>
      <t>（******）</t>
    </r>
    <r>
      <rPr>
        <b/>
        <sz val="11"/>
        <color theme="1"/>
        <rFont val="Calibri"/>
        <family val="2"/>
        <scheme val="minor"/>
      </rPr>
      <t xml:space="preserve">
Código do cliente</t>
    </r>
  </si>
  <si>
    <r>
      <t>客户类型</t>
    </r>
    <r>
      <rPr>
        <sz val="9"/>
        <color theme="1"/>
        <rFont val="Arial"/>
        <family val="2"/>
      </rPr>
      <t xml:space="preserve">（独立站/电商平台/客户集成平台）
</t>
    </r>
    <r>
      <rPr>
        <b/>
        <sz val="11"/>
        <color theme="1"/>
        <rFont val="Calibri"/>
        <family val="2"/>
        <scheme val="minor"/>
      </rPr>
      <t>Tipo de cliente</t>
    </r>
    <r>
      <rPr>
        <sz val="9"/>
        <color theme="1"/>
        <rFont val="Arial"/>
        <family val="2"/>
      </rPr>
      <t xml:space="preserve"> (Site independente/Marketplace/Plataforma de integração de clientes)</t>
    </r>
    <r>
      <rPr>
        <b/>
        <sz val="11"/>
        <color theme="1"/>
        <rFont val="Calibri"/>
        <family val="2"/>
        <scheme val="minor"/>
      </rPr>
      <t xml:space="preserve">
</t>
    </r>
  </si>
  <si>
    <r>
      <t>所属行业</t>
    </r>
    <r>
      <rPr>
        <sz val="9"/>
        <color theme="1"/>
        <rFont val="Arial"/>
        <family val="2"/>
      </rPr>
      <t>（服饰/电器/宠物用品...）</t>
    </r>
    <r>
      <rPr>
        <b/>
        <sz val="11"/>
        <color theme="1"/>
        <rFont val="Calibri"/>
        <family val="2"/>
        <scheme val="minor"/>
      </rPr>
      <t xml:space="preserve">
Setor </t>
    </r>
    <r>
      <rPr>
        <sz val="11"/>
        <color theme="1"/>
        <rFont val="Calibri"/>
        <family val="2"/>
        <scheme val="minor"/>
      </rPr>
      <t>(têxtil/eletrônicos/pet...)</t>
    </r>
  </si>
  <si>
    <r>
      <t>业务类型</t>
    </r>
    <r>
      <rPr>
        <sz val="9"/>
        <color theme="1"/>
        <rFont val="Arial"/>
        <family val="2"/>
      </rPr>
      <t>（普通单/一票多件）</t>
    </r>
    <r>
      <rPr>
        <b/>
        <sz val="11"/>
        <color theme="1"/>
        <rFont val="Calibri"/>
        <family val="2"/>
        <scheme val="minor"/>
      </rPr>
      <t xml:space="preserve">
Tipo de negócio </t>
    </r>
    <r>
      <rPr>
        <sz val="11"/>
        <color theme="1"/>
        <rFont val="Calibri"/>
        <family val="2"/>
        <scheme val="minor"/>
      </rPr>
      <t>(Pedido unitário/múltiplo)</t>
    </r>
  </si>
  <si>
    <r>
      <t>业务行业</t>
    </r>
    <r>
      <rPr>
        <sz val="9"/>
        <color theme="1"/>
        <rFont val="Arial"/>
        <family val="2"/>
      </rPr>
      <t>（贸易/工业/承运商/）</t>
    </r>
    <r>
      <rPr>
        <b/>
        <sz val="11"/>
        <color theme="1"/>
        <rFont val="Calibri"/>
        <family val="2"/>
        <scheme val="minor"/>
      </rPr>
      <t xml:space="preserve">
Natureza do negócio </t>
    </r>
    <r>
      <rPr>
        <sz val="11"/>
        <color theme="1"/>
        <rFont val="Calibri"/>
        <family val="2"/>
        <scheme val="minor"/>
      </rPr>
      <t>(comércio/indústria/transporte)</t>
    </r>
  </si>
  <si>
    <r>
      <t>运单号规则</t>
    </r>
    <r>
      <rPr>
        <sz val="9"/>
        <color theme="1"/>
        <rFont val="Arial"/>
        <family val="2"/>
      </rPr>
      <t>（一票多件单号/普通单号）</t>
    </r>
    <r>
      <rPr>
        <b/>
        <sz val="11"/>
        <color theme="1"/>
        <rFont val="Calibri"/>
        <family val="2"/>
        <scheme val="minor"/>
      </rPr>
      <t xml:space="preserve">
Regras de criação de nº de pedido JMS </t>
    </r>
    <r>
      <rPr>
        <sz val="11"/>
        <color theme="1"/>
        <rFont val="Calibri"/>
        <family val="2"/>
        <scheme val="minor"/>
      </rPr>
      <t>(nº unitário/nº múltiplo)</t>
    </r>
  </si>
  <si>
    <r>
      <rPr>
        <b/>
        <sz val="11"/>
        <color theme="1"/>
        <rFont val="Calibri"/>
        <family val="2"/>
        <scheme val="minor"/>
      </rPr>
      <t>CNPJ</t>
    </r>
    <r>
      <rPr>
        <sz val="9"/>
        <color theme="1"/>
        <rFont val="Arial"/>
        <family val="2"/>
      </rPr>
      <t>（******）</t>
    </r>
  </si>
  <si>
    <r>
      <t>收件人类型</t>
    </r>
    <r>
      <rPr>
        <sz val="9"/>
        <color theme="1"/>
        <rFont val="Arial"/>
        <family val="2"/>
      </rPr>
      <t>（CNPJ/CPF）</t>
    </r>
    <r>
      <rPr>
        <b/>
        <sz val="11"/>
        <color theme="1"/>
        <rFont val="Calibri"/>
        <family val="2"/>
        <scheme val="minor"/>
      </rPr>
      <t xml:space="preserve">
Tipo de destinatário </t>
    </r>
    <r>
      <rPr>
        <sz val="11"/>
        <color theme="1"/>
        <rFont val="Calibri"/>
        <family val="2"/>
        <scheme val="minor"/>
      </rPr>
      <t>（CNPJ/CPF）</t>
    </r>
  </si>
  <si>
    <r>
      <rPr>
        <b/>
        <sz val="11"/>
        <color theme="1"/>
        <rFont val="Calibri"/>
        <family val="2"/>
        <scheme val="minor"/>
      </rPr>
      <t>IE</t>
    </r>
    <r>
      <rPr>
        <sz val="9"/>
        <color theme="1"/>
        <rFont val="Arial"/>
        <family val="2"/>
      </rPr>
      <t>（******）</t>
    </r>
  </si>
  <si>
    <r>
      <t>收件人类型CNPJ</t>
    </r>
    <r>
      <rPr>
        <sz val="9"/>
        <color theme="1"/>
        <rFont val="Arial"/>
        <family val="2"/>
      </rPr>
      <t>（有IE/无IE）</t>
    </r>
    <r>
      <rPr>
        <b/>
        <sz val="11"/>
        <color theme="1"/>
        <rFont val="Calibri"/>
        <family val="2"/>
        <scheme val="minor"/>
      </rPr>
      <t xml:space="preserve">
Se destinatário CNPJ </t>
    </r>
    <r>
      <rPr>
        <sz val="11"/>
        <color theme="1"/>
        <rFont val="Calibri"/>
        <family val="2"/>
        <scheme val="minor"/>
      </rPr>
      <t>(com IE/sem IE)</t>
    </r>
  </si>
  <si>
    <r>
      <t>商务端联系人</t>
    </r>
    <r>
      <rPr>
        <sz val="9"/>
        <color theme="1"/>
        <rFont val="Arial"/>
        <family val="2"/>
      </rPr>
      <t>（姓名/联系电话/邮箱）</t>
    </r>
    <r>
      <rPr>
        <b/>
        <sz val="11"/>
        <color theme="1"/>
        <rFont val="Calibri"/>
        <family val="2"/>
        <scheme val="minor"/>
      </rPr>
      <t xml:space="preserve">
Contato comercial </t>
    </r>
    <r>
      <rPr>
        <sz val="11"/>
        <color theme="1"/>
        <rFont val="Calibri"/>
        <family val="2"/>
        <scheme val="minor"/>
      </rPr>
      <t>(Nome/Telefone/E-mail)</t>
    </r>
  </si>
  <si>
    <r>
      <t>面单操作</t>
    </r>
    <r>
      <rPr>
        <sz val="9"/>
        <color theme="1"/>
        <rFont val="Arial"/>
        <family val="2"/>
      </rPr>
      <t>（换单/生成J&amp;T面单）</t>
    </r>
    <r>
      <rPr>
        <b/>
        <sz val="11"/>
        <color theme="1"/>
        <rFont val="Calibri"/>
        <family val="2"/>
        <scheme val="minor"/>
      </rPr>
      <t xml:space="preserve">
Operação de etiqueta </t>
    </r>
    <r>
      <rPr>
        <sz val="11"/>
        <color theme="1"/>
        <rFont val="Calibri"/>
        <family val="2"/>
        <scheme val="minor"/>
      </rPr>
      <t>(troca de etiqueta/smartlabel)</t>
    </r>
  </si>
  <si>
    <r>
      <t>技术端联系人</t>
    </r>
    <r>
      <rPr>
        <sz val="9"/>
        <color theme="1"/>
        <rFont val="Arial"/>
        <family val="2"/>
      </rPr>
      <t xml:space="preserve">（姓名/联系电话/邮箱）
</t>
    </r>
    <r>
      <rPr>
        <b/>
        <sz val="11"/>
        <color theme="1"/>
        <rFont val="Calibri"/>
        <family val="2"/>
        <scheme val="minor"/>
      </rPr>
      <t>Contato técnico</t>
    </r>
    <r>
      <rPr>
        <sz val="9"/>
        <color theme="1"/>
        <rFont val="Arial"/>
        <family val="2"/>
      </rPr>
      <t xml:space="preserve"> (Nome/Telefone/E-mail)</t>
    </r>
  </si>
  <si>
    <r>
      <t>重量校验限制</t>
    </r>
    <r>
      <rPr>
        <sz val="9"/>
        <color theme="1"/>
        <rFont val="Arial"/>
        <family val="2"/>
      </rPr>
      <t>（0,01—35kg）</t>
    </r>
    <r>
      <rPr>
        <b/>
        <sz val="11"/>
        <color theme="1"/>
        <rFont val="Calibri"/>
        <family val="2"/>
        <scheme val="minor"/>
      </rPr>
      <t xml:space="preserve">
Limites de peso </t>
    </r>
    <r>
      <rPr>
        <sz val="11"/>
        <color theme="1"/>
        <rFont val="Calibri"/>
        <family val="2"/>
        <scheme val="minor"/>
      </rPr>
      <t>（0,01—35kg）</t>
    </r>
  </si>
  <si>
    <r>
      <t>服务类型</t>
    </r>
    <r>
      <rPr>
        <sz val="9"/>
        <color theme="1"/>
        <rFont val="Arial"/>
        <family val="2"/>
      </rPr>
      <t>（Drop off/pick up）</t>
    </r>
    <r>
      <rPr>
        <b/>
        <sz val="11"/>
        <color theme="1"/>
        <rFont val="Calibri"/>
        <family val="2"/>
        <scheme val="minor"/>
      </rPr>
      <t xml:space="preserve">
Tipo de serviço </t>
    </r>
    <r>
      <rPr>
        <sz val="11"/>
        <color theme="1"/>
        <rFont val="Calibri"/>
        <family val="2"/>
        <scheme val="minor"/>
      </rPr>
      <t>（Drop off/pick up）</t>
    </r>
  </si>
  <si>
    <r>
      <t xml:space="preserve">收件地址
</t>
    </r>
    <r>
      <rPr>
        <sz val="11"/>
        <color theme="1"/>
        <rFont val="Calibri"/>
        <family val="2"/>
        <scheme val="minor"/>
      </rPr>
      <t>Endereço de coleta</t>
    </r>
  </si>
  <si>
    <r>
      <t>调度方式</t>
    </r>
    <r>
      <rPr>
        <sz val="9"/>
        <color theme="1"/>
        <rFont val="Arial"/>
        <family val="2"/>
      </rPr>
      <t>（邮编调度/客户资料调度）</t>
    </r>
    <r>
      <rPr>
        <b/>
        <sz val="11"/>
        <color theme="1"/>
        <rFont val="Calibri"/>
        <family val="2"/>
        <scheme val="minor"/>
      </rPr>
      <t xml:space="preserve">
Tipo de agendamento </t>
    </r>
    <r>
      <rPr>
        <sz val="11"/>
        <color theme="1"/>
        <rFont val="Calibri"/>
        <family val="2"/>
        <scheme val="minor"/>
      </rPr>
      <t>(por CEP/ por material do cliente)</t>
    </r>
  </si>
  <si>
    <r>
      <t xml:space="preserve">退件地址
</t>
    </r>
    <r>
      <rPr>
        <sz val="11"/>
        <color theme="1"/>
        <rFont val="Calibri"/>
        <family val="2"/>
        <scheme val="minor"/>
      </rPr>
      <t>Endereço de devolução</t>
    </r>
  </si>
  <si>
    <r>
      <t>订单取消</t>
    </r>
    <r>
      <rPr>
        <sz val="9"/>
        <color theme="1"/>
        <rFont val="Arial"/>
        <family val="2"/>
      </rPr>
      <t>（是/否）</t>
    </r>
    <r>
      <rPr>
        <b/>
        <sz val="11"/>
        <color theme="1"/>
        <rFont val="Calibri"/>
        <family val="2"/>
        <scheme val="minor"/>
      </rPr>
      <t xml:space="preserve">
Integração de cancelamento de pedido? </t>
    </r>
    <r>
      <rPr>
        <sz val="11"/>
        <color theme="1"/>
        <rFont val="Calibri"/>
        <family val="2"/>
        <scheme val="minor"/>
      </rPr>
      <t>(Sim/Não)</t>
    </r>
  </si>
  <si>
    <t>Sim 是</t>
  </si>
  <si>
    <r>
      <t>账期类型</t>
    </r>
    <r>
      <rPr>
        <sz val="9"/>
        <color theme="1"/>
        <rFont val="Arial"/>
        <family val="2"/>
      </rPr>
      <t>（15天/30天）</t>
    </r>
    <r>
      <rPr>
        <b/>
        <sz val="11"/>
        <color theme="1"/>
        <rFont val="Calibri"/>
        <family val="2"/>
        <scheme val="minor"/>
      </rPr>
      <t xml:space="preserve">
Tipo de fechamento </t>
    </r>
    <r>
      <rPr>
        <sz val="11"/>
        <color theme="1"/>
        <rFont val="Calibri"/>
        <family val="2"/>
        <scheme val="minor"/>
      </rPr>
      <t>(15 dias/30 dias)</t>
    </r>
  </si>
  <si>
    <r>
      <t>轨迹映射</t>
    </r>
    <r>
      <rPr>
        <sz val="9"/>
        <color theme="1"/>
        <rFont val="Arial"/>
        <family val="2"/>
      </rPr>
      <t>（客户映射J&amp;T/J&amp;T映射客户）</t>
    </r>
    <r>
      <rPr>
        <b/>
        <sz val="11"/>
        <color theme="1"/>
        <rFont val="Calibri"/>
        <family val="2"/>
        <scheme val="minor"/>
      </rPr>
      <t xml:space="preserve">
Integração de status </t>
    </r>
    <r>
      <rPr>
        <sz val="11"/>
        <color theme="1"/>
        <rFont val="Calibri"/>
        <family val="2"/>
        <scheme val="minor"/>
      </rPr>
      <t>(Cliente reflete status da J&amp;T/J&amp;T reflete status do cliente)</t>
    </r>
  </si>
  <si>
    <r>
      <t>TOMA信息</t>
    </r>
    <r>
      <rPr>
        <sz val="9"/>
        <color theme="1"/>
        <rFont val="Arial"/>
        <family val="2"/>
      </rPr>
      <t>（客户/寄件人/收件人.....)</t>
    </r>
    <r>
      <rPr>
        <b/>
        <sz val="11"/>
        <color theme="1"/>
        <rFont val="Calibri"/>
        <family val="2"/>
        <scheme val="minor"/>
      </rPr>
      <t xml:space="preserve">
Informações TOMA </t>
    </r>
    <r>
      <rPr>
        <sz val="11"/>
        <color theme="1"/>
        <rFont val="Calibri"/>
        <family val="2"/>
        <scheme val="minor"/>
      </rPr>
      <t>(Cliente/Remetente/Destinatário...)</t>
    </r>
  </si>
  <si>
    <r>
      <t>问题件映射</t>
    </r>
    <r>
      <rPr>
        <sz val="9"/>
        <color theme="1"/>
        <rFont val="Arial"/>
        <family val="2"/>
      </rPr>
      <t>（客户映射J&amp;T/J&amp;T映射客户）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Integração de ocorrências (pacotes problemáticos) </t>
    </r>
    <r>
      <rPr>
        <sz val="11"/>
        <color theme="1"/>
        <rFont val="Calibri"/>
        <family val="2"/>
        <scheme val="minor"/>
      </rPr>
      <t>(Cliente reflete status da J&amp;T/J&amp;T reflete status do cliente)</t>
    </r>
  </si>
  <si>
    <r>
      <t>计费重量</t>
    </r>
    <r>
      <rPr>
        <sz val="9"/>
        <color theme="1"/>
        <rFont val="Arial"/>
        <family val="2"/>
      </rPr>
      <t>（订单重量/入仓重量/.....）</t>
    </r>
    <r>
      <rPr>
        <b/>
        <sz val="11"/>
        <color theme="1"/>
        <rFont val="Calibri"/>
        <family val="2"/>
        <scheme val="minor"/>
      </rPr>
      <t xml:space="preserve">
Peso faturável </t>
    </r>
    <r>
      <rPr>
        <sz val="11"/>
        <color theme="1"/>
        <rFont val="Calibri"/>
        <family val="2"/>
        <scheme val="minor"/>
      </rPr>
      <t>(peso do pacote/peso de entrada em armazém...)</t>
    </r>
  </si>
  <si>
    <r>
      <t>快件类型</t>
    </r>
    <r>
      <rPr>
        <sz val="9"/>
        <color theme="1"/>
        <rFont val="Arial"/>
        <family val="2"/>
      </rPr>
      <t>（EZ）</t>
    </r>
    <r>
      <rPr>
        <b/>
        <sz val="11"/>
        <color theme="1"/>
        <rFont val="Calibri"/>
        <family val="2"/>
        <scheme val="minor"/>
      </rPr>
      <t xml:space="preserve">
Tipo de remessa </t>
    </r>
    <r>
      <rPr>
        <sz val="11"/>
        <color theme="1"/>
        <rFont val="Calibri"/>
        <family val="2"/>
        <scheme val="minor"/>
      </rPr>
      <t>(EZ)</t>
    </r>
  </si>
  <si>
    <t>EZ</t>
  </si>
  <si>
    <r>
      <t xml:space="preserve">日均件量
</t>
    </r>
    <r>
      <rPr>
        <sz val="11"/>
        <color theme="1"/>
        <rFont val="Calibri"/>
        <family val="2"/>
        <scheme val="minor"/>
      </rPr>
      <t>Volume diário</t>
    </r>
  </si>
  <si>
    <r>
      <t>收件人地址规则</t>
    </r>
    <r>
      <rPr>
        <sz val="9"/>
        <color theme="1"/>
        <rFont val="Arial"/>
        <family val="2"/>
      </rPr>
      <t>（******）</t>
    </r>
    <r>
      <rPr>
        <b/>
        <sz val="11"/>
        <color theme="1"/>
        <rFont val="Calibri"/>
        <family val="2"/>
        <scheme val="minor"/>
      </rPr>
      <t xml:space="preserve">
Regras de endereço de destinatário </t>
    </r>
  </si>
  <si>
    <r>
      <t xml:space="preserve">货物流向
</t>
    </r>
    <r>
      <rPr>
        <sz val="11"/>
        <color theme="1"/>
        <rFont val="Calibri"/>
        <family val="2"/>
        <scheme val="minor"/>
      </rPr>
      <t>Destino de pedidos (%região)</t>
    </r>
  </si>
  <si>
    <r>
      <t>收件人手机号码</t>
    </r>
    <r>
      <rPr>
        <sz val="9"/>
        <color theme="1"/>
        <rFont val="Arial"/>
        <family val="2"/>
      </rPr>
      <t>（******）</t>
    </r>
    <r>
      <rPr>
        <b/>
        <sz val="11"/>
        <color theme="1"/>
        <rFont val="Calibri"/>
        <family val="2"/>
        <scheme val="minor"/>
      </rPr>
      <t xml:space="preserve">
Número de celular do destinatário é enviado?</t>
    </r>
  </si>
  <si>
    <r>
      <t xml:space="preserve">货物均重
</t>
    </r>
    <r>
      <rPr>
        <sz val="11"/>
        <color theme="1"/>
        <rFont val="Calibri"/>
        <family val="2"/>
        <scheme val="minor"/>
      </rPr>
      <t>Média de peso</t>
    </r>
  </si>
  <si>
    <t>1. Aparelhos de telefonia celular, tablets e acessórios:</t>
  </si>
  <si>
    <t>Caixa Secundária</t>
  </si>
  <si>
    <t>Plástico bolha</t>
  </si>
  <si>
    <t>Sacos de ar</t>
  </si>
  <si>
    <t>Isopor</t>
  </si>
  <si>
    <t>Fita adesiva antiviolação</t>
  </si>
  <si>
    <t>2. Aparelhos eletrônicos de som e imagem:</t>
  </si>
  <si>
    <t>3. Computadores, gabinetes, peças e periféricos:</t>
  </si>
  <si>
    <t>Contém adesivo explicativo</t>
  </si>
  <si>
    <t>4. Eletrodomésticos ou Eletroportáveis</t>
  </si>
  <si>
    <t>5. Artigos de higiene:</t>
  </si>
  <si>
    <t>Embalagens Primárias</t>
  </si>
  <si>
    <t>6. Cosméticos e perfumes</t>
  </si>
  <si>
    <t>7. Lâminas e aparelhos de barbear:</t>
  </si>
  <si>
    <t>8. Medicamentos, vitaminas e suplementos:</t>
  </si>
  <si>
    <t>9. Autopeças:</t>
  </si>
  <si>
    <t>10. Pneus e câmaras de ar:</t>
  </si>
  <si>
    <t>Etiqueta resistente</t>
  </si>
  <si>
    <t>11. Biciletas:</t>
  </si>
  <si>
    <t>Caixa de Papelão Reforçada</t>
  </si>
  <si>
    <t>Mercadoria Desmontada</t>
  </si>
  <si>
    <t>12. Brinquedos em Geral:</t>
  </si>
  <si>
    <t>13. Balas, chocolates, chicletes e doces em geral:</t>
  </si>
  <si>
    <t>14. Café (qualquer tipo):</t>
  </si>
  <si>
    <t>15. Roupas, confecções, fios têxteis e tecidos:</t>
  </si>
  <si>
    <t>Flayer/Saco descaracterizando a marca</t>
  </si>
  <si>
    <t>16. Calçados:</t>
  </si>
  <si>
    <t>17. Relógios e Jóias:</t>
  </si>
  <si>
    <t>18. Produtos de limpeza:</t>
  </si>
  <si>
    <t>19. Produtos veterinários:</t>
  </si>
  <si>
    <t>20. Lâmpadas, reatores, luminárias e periféricos:</t>
  </si>
  <si>
    <t>21. Vidros em Geral:</t>
  </si>
  <si>
    <t>22. Fios e Cabos Elétricos:</t>
  </si>
  <si>
    <t>23. Livros, Revistas e Papelaria em Geral</t>
  </si>
  <si>
    <t>Listas &gt;&gt;</t>
  </si>
  <si>
    <t>Cálculos Progresso &gt;&gt;</t>
  </si>
  <si>
    <t>Obrigatorias (X) &gt;&gt;</t>
  </si>
  <si>
    <t xml:space="preserve">Pontos Opcionais: </t>
  </si>
  <si>
    <t>Pontos Redução:</t>
  </si>
  <si>
    <t>Itens</t>
  </si>
  <si>
    <t>Mínimo X</t>
  </si>
  <si>
    <t>Peso X</t>
  </si>
  <si>
    <t>Jornal</t>
  </si>
  <si>
    <t>Segmento de mercado</t>
  </si>
  <si>
    <t>UF</t>
  </si>
  <si>
    <t>Tier</t>
  </si>
  <si>
    <t>Formato Indenização</t>
  </si>
  <si>
    <t>Página</t>
  </si>
  <si>
    <t>Qtd Campos</t>
  </si>
  <si>
    <t>Qtd Preenchida</t>
  </si>
  <si>
    <t>% Alcance</t>
  </si>
  <si>
    <t>x</t>
  </si>
  <si>
    <t>Alimentos e Bebidas</t>
  </si>
  <si>
    <t>AC</t>
  </si>
  <si>
    <t>AWB</t>
  </si>
  <si>
    <t>Geral</t>
  </si>
  <si>
    <t>Arte e Antiguidades</t>
  </si>
  <si>
    <t>AL</t>
  </si>
  <si>
    <t>A</t>
  </si>
  <si>
    <t>N° do Pedido</t>
  </si>
  <si>
    <t>Comercial</t>
  </si>
  <si>
    <t>Artigos Religiosos</t>
  </si>
  <si>
    <t>AM</t>
  </si>
  <si>
    <t>B</t>
  </si>
  <si>
    <t>DANFE</t>
  </si>
  <si>
    <t>Financeiro</t>
  </si>
  <si>
    <t>Automóveis e Veículos</t>
  </si>
  <si>
    <t>AP</t>
  </si>
  <si>
    <t>C</t>
  </si>
  <si>
    <t>ID do Cliente</t>
  </si>
  <si>
    <t>Operações</t>
  </si>
  <si>
    <t>Bebês e Cia</t>
  </si>
  <si>
    <t>BA</t>
  </si>
  <si>
    <t>D</t>
  </si>
  <si>
    <t>TI</t>
  </si>
  <si>
    <t>Brindes / Materiais Promocionais</t>
  </si>
  <si>
    <t>CE</t>
  </si>
  <si>
    <t>E</t>
  </si>
  <si>
    <t>Brinquedos e Games</t>
  </si>
  <si>
    <t>DF</t>
  </si>
  <si>
    <t>Sim/Não</t>
  </si>
  <si>
    <t>Casa e Decoração</t>
  </si>
  <si>
    <t>ES</t>
  </si>
  <si>
    <t>Normal</t>
  </si>
  <si>
    <t>Colecionáveis</t>
  </si>
  <si>
    <t>GO</t>
  </si>
  <si>
    <t>Não 否</t>
  </si>
  <si>
    <t>Redespacho</t>
  </si>
  <si>
    <t>Construção e Ferramentas</t>
  </si>
  <si>
    <t>MA</t>
  </si>
  <si>
    <t>Parcial</t>
  </si>
  <si>
    <t>Subcontratação</t>
  </si>
  <si>
    <t>Cosméticos e Perfumaria</t>
  </si>
  <si>
    <t>MG</t>
  </si>
  <si>
    <t>Tipo Pgto</t>
  </si>
  <si>
    <t>Pagamento DIFAL</t>
  </si>
  <si>
    <t>Cursos e Educação</t>
  </si>
  <si>
    <t>MS</t>
  </si>
  <si>
    <t>Mensal</t>
  </si>
  <si>
    <t>Pagamento realizado pela J&amp;T e ressarcido ao final do mês pelo embarcador</t>
  </si>
  <si>
    <t>Eletrodomésticos</t>
  </si>
  <si>
    <t>MT</t>
  </si>
  <si>
    <t>Quinzenal</t>
  </si>
  <si>
    <t>Eletrônicos</t>
  </si>
  <si>
    <t>PA</t>
  </si>
  <si>
    <t>Esporte e Lazer</t>
  </si>
  <si>
    <t>PB</t>
  </si>
  <si>
    <t>Tipo Frete</t>
  </si>
  <si>
    <t>Seguro e PGR</t>
  </si>
  <si>
    <t>Festas / Eventos</t>
  </si>
  <si>
    <t>PE</t>
  </si>
  <si>
    <t>NF-e</t>
  </si>
  <si>
    <t>Próprio</t>
  </si>
  <si>
    <t>Gráficos / Editoriais</t>
  </si>
  <si>
    <t>PI</t>
  </si>
  <si>
    <t>CTE</t>
  </si>
  <si>
    <t>J&amp;T Express</t>
  </si>
  <si>
    <t>Instrumentos Musicais</t>
  </si>
  <si>
    <t>PR</t>
  </si>
  <si>
    <t>Joalheria</t>
  </si>
  <si>
    <t>RJ</t>
  </si>
  <si>
    <t>Forma Pgto</t>
  </si>
  <si>
    <t>Item Integração</t>
  </si>
  <si>
    <t>Livros</t>
  </si>
  <si>
    <t>RN</t>
  </si>
  <si>
    <t>Boleto</t>
  </si>
  <si>
    <t>EDI com retorno</t>
  </si>
  <si>
    <t>Medicamentos</t>
  </si>
  <si>
    <t>RO</t>
  </si>
  <si>
    <t>Depósito em Conta</t>
  </si>
  <si>
    <t>EDI sem retorno</t>
  </si>
  <si>
    <t>Moda e Acessórios</t>
  </si>
  <si>
    <t>RR</t>
  </si>
  <si>
    <t>API Cliente</t>
  </si>
  <si>
    <t>Óticas</t>
  </si>
  <si>
    <t>RS</t>
  </si>
  <si>
    <t>Regime Trib.</t>
  </si>
  <si>
    <t>API J&amp;T</t>
  </si>
  <si>
    <t>Papelaria e Escritório</t>
  </si>
  <si>
    <t>SC</t>
  </si>
  <si>
    <t>Lucro Real</t>
  </si>
  <si>
    <t>XML</t>
  </si>
  <si>
    <t>Pet Shop</t>
  </si>
  <si>
    <t>SE</t>
  </si>
  <si>
    <t>Lucro Presumido</t>
  </si>
  <si>
    <t>Plataforma</t>
  </si>
  <si>
    <t>Sex Shop</t>
  </si>
  <si>
    <t>SP</t>
  </si>
  <si>
    <t>Simples Nacional</t>
  </si>
  <si>
    <t xml:space="preserve">Filial </t>
  </si>
  <si>
    <t>Tabacaria</t>
  </si>
  <si>
    <t>TO</t>
  </si>
  <si>
    <t>Filial AM</t>
  </si>
  <si>
    <t>Transportador</t>
  </si>
  <si>
    <t>Prazo Vcto.</t>
  </si>
  <si>
    <t>GRIS</t>
  </si>
  <si>
    <t>Filial BA</t>
  </si>
  <si>
    <t>Turismo</t>
  </si>
  <si>
    <t>15 dias</t>
  </si>
  <si>
    <t>Padrão</t>
  </si>
  <si>
    <t>Filial CE</t>
  </si>
  <si>
    <t>30 dias</t>
  </si>
  <si>
    <t>Personalizado Conforme Tabela</t>
  </si>
  <si>
    <t>Filial GO</t>
  </si>
  <si>
    <t>Filial MA</t>
  </si>
  <si>
    <t>Características da Operação:</t>
  </si>
  <si>
    <t>Filial MG</t>
  </si>
  <si>
    <t>Filial MT</t>
  </si>
  <si>
    <t>Filial PA</t>
  </si>
  <si>
    <t>Depósito em conta</t>
  </si>
  <si>
    <t>Filial PE</t>
  </si>
  <si>
    <t>Abatimento Fatura</t>
  </si>
  <si>
    <t>Filial PR</t>
  </si>
  <si>
    <t>Mod. Serviço</t>
  </si>
  <si>
    <t>Filial RJ</t>
  </si>
  <si>
    <t>Standard</t>
  </si>
  <si>
    <t>Depara</t>
  </si>
  <si>
    <t>Filial RS</t>
  </si>
  <si>
    <t>Express</t>
  </si>
  <si>
    <t>Filial SC</t>
  </si>
  <si>
    <t>D2D</t>
  </si>
  <si>
    <t>Filial SP</t>
  </si>
  <si>
    <t>Matriz</t>
  </si>
  <si>
    <t>Tipo de Coleta</t>
  </si>
  <si>
    <t>ANVISA</t>
  </si>
  <si>
    <t>Cliente realiza drop off no nosso SC 客戶自寄</t>
  </si>
  <si>
    <t>Agrotóxicos</t>
  </si>
  <si>
    <t>Alimentos</t>
  </si>
  <si>
    <t>Doc Fiscal Cliente</t>
  </si>
  <si>
    <t>Cosméticos</t>
  </si>
  <si>
    <t>NF-E</t>
  </si>
  <si>
    <t>Farmaceuticos</t>
  </si>
  <si>
    <t xml:space="preserve">CT-E </t>
  </si>
  <si>
    <t>Saneantes</t>
  </si>
  <si>
    <t>DECLARAÇÃO DE CONTEUDO</t>
  </si>
  <si>
    <t>Insumos de Farma</t>
  </si>
  <si>
    <t>NF-E / DC</t>
  </si>
  <si>
    <t>Tomador</t>
  </si>
  <si>
    <t>Natureza do negócio</t>
  </si>
  <si>
    <t>Cliente</t>
  </si>
  <si>
    <t>Comércio 贸易</t>
  </si>
  <si>
    <t>Outro</t>
  </si>
  <si>
    <t>Indústria 工业</t>
  </si>
  <si>
    <t>Transporte 承运商</t>
  </si>
  <si>
    <t>Operador Logistico</t>
  </si>
  <si>
    <t xml:space="preserve">Peso faturável </t>
  </si>
  <si>
    <t>Modelo de negócio</t>
  </si>
  <si>
    <t>Peso Real ad Coleta</t>
  </si>
  <si>
    <t>COLETA NO CD / 在CD 揽收</t>
  </si>
  <si>
    <t>Peso Real ad CD</t>
  </si>
  <si>
    <t>Peso Real Cliente</t>
  </si>
  <si>
    <t>Peso Interno</t>
  </si>
  <si>
    <t>C2C</t>
  </si>
  <si>
    <t>Peso Real ad DC</t>
  </si>
  <si>
    <t xml:space="preserve">Tipo de cliente </t>
  </si>
  <si>
    <t>Site independente 独立站</t>
  </si>
  <si>
    <t>Marketplace 电商平台</t>
  </si>
  <si>
    <t>Plataforma de integração de clientes 客户集成平台</t>
  </si>
  <si>
    <t xml:space="preserve">Operação de etiqueta </t>
  </si>
  <si>
    <t xml:space="preserve">Troca de etiqueta 换单 </t>
  </si>
  <si>
    <t>Smartlabel 生成J&amp;T面单l</t>
  </si>
  <si>
    <t>Customer Success</t>
  </si>
  <si>
    <t>Vip</t>
  </si>
  <si>
    <t>A+</t>
  </si>
  <si>
    <t>F</t>
  </si>
  <si>
    <t>Site do Cliente</t>
  </si>
  <si>
    <t>Nome Completo Testemunha Contratante</t>
  </si>
  <si>
    <t>E-mail Nominal Testemunha Contratante</t>
  </si>
  <si>
    <t>Endereço:</t>
  </si>
  <si>
    <t>Nome do responsável financeiro:</t>
  </si>
  <si>
    <t>Tier do Cliente no Mercado</t>
  </si>
  <si>
    <t>Tier da Tabela Negociada:</t>
  </si>
  <si>
    <r>
      <t xml:space="preserve">DANFE em Janela Fixada </t>
    </r>
    <r>
      <rPr>
        <sz val="9"/>
        <color theme="0" tint="-0.34998626667073579"/>
        <rFont val="Arial"/>
        <family val="2"/>
      </rPr>
      <t>发票(DANFE)贴在包裹表面:</t>
    </r>
  </si>
  <si>
    <r>
      <t>Produto Frágil</t>
    </r>
    <r>
      <rPr>
        <sz val="9"/>
        <color theme="0" tint="-0.34998626667073579"/>
        <rFont val="Arial"/>
        <family val="2"/>
      </rPr>
      <t>易碎品:</t>
    </r>
  </si>
  <si>
    <t>ORIGENS DAS COLETAS</t>
  </si>
  <si>
    <r>
      <t>Endereço para Coleta</t>
    </r>
    <r>
      <rPr>
        <sz val="9"/>
        <color theme="0" tint="-0.34998626667073579"/>
        <rFont val="Arial"/>
        <family val="2"/>
      </rPr>
      <t xml:space="preserve"> 揽收地址:</t>
    </r>
  </si>
  <si>
    <t>Cidade:</t>
  </si>
  <si>
    <t>Bairro:</t>
  </si>
  <si>
    <t>UF:</t>
  </si>
  <si>
    <t>CEP:</t>
  </si>
  <si>
    <t>Nome responsável no cliente:</t>
  </si>
  <si>
    <t>Telefone:</t>
  </si>
  <si>
    <t>E-mail:</t>
  </si>
  <si>
    <t>Média volume dia:</t>
  </si>
  <si>
    <t>Peso médio:</t>
  </si>
  <si>
    <t>Valor NF médio:</t>
  </si>
  <si>
    <r>
      <t xml:space="preserve">Tipo de coleta </t>
    </r>
    <r>
      <rPr>
        <sz val="9"/>
        <color theme="0" tint="-0.34998626667073579"/>
        <rFont val="Arial"/>
        <family val="2"/>
      </rPr>
      <t>服务类型</t>
    </r>
    <r>
      <rPr>
        <sz val="9"/>
        <color theme="1"/>
        <rFont val="Arial"/>
        <family val="2"/>
      </rPr>
      <t>:</t>
    </r>
  </si>
  <si>
    <t>Periodicidade:</t>
  </si>
  <si>
    <t>Horário:</t>
  </si>
  <si>
    <r>
      <t xml:space="preserve">Horário para coleta </t>
    </r>
    <r>
      <rPr>
        <sz val="9"/>
        <color theme="0" tint="-0.34998626667073579"/>
        <rFont val="Arial"/>
        <family val="2"/>
      </rPr>
      <t>揽收时间:</t>
    </r>
  </si>
  <si>
    <t>Frequência da coleta 揽收次数:</t>
  </si>
  <si>
    <t>DESTINOS DOS PEDIDOS</t>
  </si>
  <si>
    <t>Abrangência Nacional J&amp;T:</t>
  </si>
  <si>
    <t xml:space="preserve">Inicialmente UFs: </t>
  </si>
  <si>
    <t>Somente UFs (descrever)</t>
  </si>
  <si>
    <t>FILIAL RESPONSÁVEL PARA REALIZAR A COLETA</t>
  </si>
  <si>
    <t>Responsável J&amp;T (Transporte):</t>
  </si>
  <si>
    <t>PARTICULARIDADES PARA REALIZAR COLETA NO CLIENTE</t>
  </si>
  <si>
    <t>Haverá PA?</t>
  </si>
  <si>
    <t>Particularidades do PA:</t>
  </si>
  <si>
    <t xml:space="preserve">DEVOLUÇÕES </t>
  </si>
  <si>
    <t>ENDEREÇO DE DEVOLUÇÃO</t>
  </si>
  <si>
    <t>Cep:</t>
  </si>
  <si>
    <t>AGENDAMENTO DAS DEVOLUÇÕES</t>
  </si>
  <si>
    <t>Necessidade de agendamento?</t>
  </si>
  <si>
    <t>Responsável no cliente:</t>
  </si>
  <si>
    <t>Tel.:</t>
  </si>
  <si>
    <t>Periodicidade (grades):</t>
  </si>
  <si>
    <t>Capacidade de volumes para receber:</t>
  </si>
  <si>
    <t>Aproveitamento da coleta?</t>
  </si>
  <si>
    <t>Responsável na J&amp;T:</t>
  </si>
  <si>
    <t>Obs - Grau de avaria aceitável</t>
  </si>
  <si>
    <t>FILIAL RESPONSÁVEL PARA REALIZAR A DEVOLUÇÃO</t>
  </si>
  <si>
    <t>PARTICULARIDADES PARA REALIZAR DEVOLUÇÃO NO CLIENTE</t>
  </si>
  <si>
    <t>ANALISTA J&amp;T RESPONSÁVEL PELO ATENDIMENTO</t>
  </si>
  <si>
    <t>Nome analista:</t>
  </si>
  <si>
    <t>Supervisor:</t>
  </si>
  <si>
    <t>Gerente:</t>
  </si>
  <si>
    <t>CONTATOS CLIENTE TRATATIVA (ATENDIMENTO)</t>
  </si>
  <si>
    <t>Nome</t>
  </si>
  <si>
    <t>Função</t>
  </si>
  <si>
    <t>Fone</t>
  </si>
  <si>
    <t>E-mail</t>
  </si>
  <si>
    <t>PRAZOS ATENDIMENTO</t>
  </si>
  <si>
    <t>Indicador</t>
  </si>
  <si>
    <t>Meta</t>
  </si>
  <si>
    <t>Métrica</t>
  </si>
  <si>
    <t>Prazo retorno reclamação</t>
  </si>
  <si>
    <t>Prazo retorno PNR</t>
  </si>
  <si>
    <t>SLA de reclamação</t>
  </si>
  <si>
    <t>SLA de Entrega</t>
  </si>
  <si>
    <t>SLA de Insucesso</t>
  </si>
  <si>
    <t>SLA de ressarcimento</t>
  </si>
  <si>
    <t>CONTATOS CLIENTE TRATATIVA (RESSARCIMENTO)</t>
  </si>
  <si>
    <t>Descrição da Regra</t>
  </si>
  <si>
    <t>Nome Completo Representante Legal</t>
  </si>
  <si>
    <t>E-mail Nominal Representante Legal:</t>
  </si>
  <si>
    <t>Vigente Conforme Descrito em Contrato</t>
  </si>
  <si>
    <t>Regras DIFAL:</t>
  </si>
  <si>
    <t>Regras Ressarcimento:</t>
  </si>
  <si>
    <t>Nome da Plataforma 平台名称:</t>
  </si>
  <si>
    <t>Sábado:</t>
  </si>
  <si>
    <t>Domingo:</t>
  </si>
  <si>
    <t>Nome do responsável pelo reembolso do Difal:</t>
  </si>
  <si>
    <t>Ciclo de Faturamento</t>
  </si>
  <si>
    <t>Prazo de Pagamento</t>
  </si>
  <si>
    <t>Faturamento de Devolução Separado?</t>
  </si>
  <si>
    <t>Campos Financeiro</t>
  </si>
  <si>
    <t>15 / 15</t>
  </si>
  <si>
    <t>Outros (sujeito a aprovação)</t>
  </si>
  <si>
    <t>Descrever:</t>
  </si>
  <si>
    <t>Tipo de pagamento</t>
  </si>
  <si>
    <t>TED</t>
  </si>
  <si>
    <t>PIX</t>
  </si>
  <si>
    <t>Concessionária</t>
  </si>
  <si>
    <t>Boleto Itaú</t>
  </si>
  <si>
    <t>Boleto Outros Bancos</t>
  </si>
  <si>
    <t>Transferência de Itaú para Itaú</t>
  </si>
  <si>
    <t>Tipo de Pagamento:</t>
  </si>
  <si>
    <t>Banco:</t>
  </si>
  <si>
    <t>Agência (sem dígito):</t>
  </si>
  <si>
    <t>Tipo de Conta:</t>
  </si>
  <si>
    <t>Tipo de conta</t>
  </si>
  <si>
    <t>Corrente</t>
  </si>
  <si>
    <t>Poupança</t>
  </si>
  <si>
    <t>Conjunta</t>
  </si>
  <si>
    <t>Tipo de PIX:</t>
  </si>
  <si>
    <t>Tipo de PIX</t>
  </si>
  <si>
    <t>Celular</t>
  </si>
  <si>
    <t>CPF</t>
  </si>
  <si>
    <t>CNPJ</t>
  </si>
  <si>
    <t>Chave Aleatória</t>
  </si>
  <si>
    <t>Conta (com dígito):</t>
  </si>
  <si>
    <t>Chave PIX:</t>
  </si>
  <si>
    <t>Intermediador</t>
  </si>
  <si>
    <t>Modalidade de Entrega</t>
  </si>
  <si>
    <t>Expresso</t>
  </si>
  <si>
    <t>Personalizado</t>
  </si>
  <si>
    <r>
      <t xml:space="preserve">Modalidade do Entrega </t>
    </r>
    <r>
      <rPr>
        <sz val="9"/>
        <color theme="0" tint="-0.34998626667073579"/>
        <rFont val="Arial"/>
        <family val="2"/>
      </rPr>
      <t>投递方式:</t>
    </r>
  </si>
  <si>
    <t>Pré pago</t>
  </si>
  <si>
    <t>Drop off</t>
  </si>
  <si>
    <t>Last Mile</t>
  </si>
  <si>
    <t>Ship From Store</t>
  </si>
  <si>
    <t>Coleta CD</t>
  </si>
  <si>
    <t>Robson Pereira</t>
  </si>
  <si>
    <t>Diaria</t>
  </si>
  <si>
    <t>A combinar</t>
  </si>
  <si>
    <t>a combinar</t>
  </si>
  <si>
    <t>De segunda a sexta</t>
  </si>
  <si>
    <t>Sim</t>
  </si>
  <si>
    <t>Todas</t>
  </si>
  <si>
    <t>Barueri</t>
  </si>
  <si>
    <t>Vanilson</t>
  </si>
  <si>
    <t>Não</t>
  </si>
  <si>
    <t>vanilson.silva@jtexpress.com.br</t>
  </si>
  <si>
    <t>11 97352-8892</t>
  </si>
  <si>
    <t>anacarla.lucena@jtexpress.com.br</t>
  </si>
  <si>
    <t>ANA CARLA RODRIGUES</t>
  </si>
  <si>
    <t>BRADESCO</t>
  </si>
  <si>
    <t>SERVLOG LOGISTICA SERVICOS EM TRANSPORTES LTDA</t>
  </si>
  <si>
    <t>ROD BR 101 SN - KM 88 GALPÃO 28</t>
  </si>
  <si>
    <t>DISTRITO INDUSTRIAL</t>
  </si>
  <si>
    <t xml:space="preserve">JOÃO PESSOA </t>
  </si>
  <si>
    <t xml:space="preserve">leandro2020pessoal@gmail.com - financeiro@servlogpb.com.br - </t>
  </si>
  <si>
    <t>LEANDRO</t>
  </si>
  <si>
    <t>leandro2020pessoal@gmail.com</t>
  </si>
  <si>
    <t>LUCINALDO FERREIRA DA SILVA</t>
  </si>
  <si>
    <t>LEANDRO LUIZ LINO</t>
  </si>
  <si>
    <t>financeiro@servlogpb.com.br</t>
  </si>
  <si>
    <t>leandro2020pessoal@gmail.com - financeiro@servlogpb.com.br</t>
  </si>
  <si>
    <t>18063-7</t>
  </si>
  <si>
    <t>ROD BR 101 SN - KM 88 GALPÃO 28 - DISTRITO INDUSTRIAL - JOÃO PESSOA PB</t>
  </si>
  <si>
    <t>JOÃO PESSOA</t>
  </si>
  <si>
    <t>58082-000</t>
  </si>
  <si>
    <t>JOAO LEONARDO RODRIGUES</t>
  </si>
  <si>
    <t>jlgiovanetti@gmail.com</t>
  </si>
  <si>
    <t>44 98807-6116</t>
  </si>
  <si>
    <t>ENVIO LEGAL</t>
  </si>
  <si>
    <t>QUINZENAL</t>
  </si>
  <si>
    <t>SERVLOG</t>
  </si>
  <si>
    <t>ROD BR 101 SN KM 88 GALPÃO 28</t>
  </si>
  <si>
    <t>44410871000159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</si>
</sst>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0000\-000"/>
  </numFmts>
  <fonts count="21" x14ac:knownFonts="1"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1" tint="0.499984740745262"/>
      <name val="Arial"/>
      <family val="2"/>
    </font>
    <font>
      <sz val="9"/>
      <color theme="1"/>
      <name val="Arial"/>
      <family val="2"/>
    </font>
    <font>
      <b/>
      <sz val="9"/>
      <color theme="0" tint="-0.499984740745262"/>
      <name val="Arial"/>
      <family val="2"/>
    </font>
    <font>
      <sz val="9"/>
      <name val="Arial"/>
      <family val="2"/>
    </font>
    <font>
      <sz val="9"/>
      <color theme="0" tint="-0.34998626667073579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9"/>
      <color theme="10"/>
      <name val="Arial"/>
      <family val="2"/>
    </font>
    <font>
      <sz val="9"/>
      <color theme="0" tint="-0.249977111117893"/>
      <name val="Arial"/>
      <family val="2"/>
    </font>
    <font>
      <b/>
      <sz val="10"/>
      <color theme="0"/>
      <name val="Calibri"/>
      <family val="2"/>
      <scheme val="minor"/>
    </font>
    <font>
      <b/>
      <u/>
      <sz val="9"/>
      <color theme="1"/>
      <name val="Arial"/>
      <family val="2"/>
    </font>
    <font>
      <sz val="9"/>
      <color theme="3" tint="0.59999389629810485"/>
      <name val="Arial"/>
      <family val="2"/>
    </font>
    <font>
      <b/>
      <sz val="9"/>
      <color theme="0"/>
      <name val="Arial"/>
      <family val="2"/>
    </font>
    <font>
      <sz val="11"/>
      <color rgb="FF1F2329"/>
      <name val="Tahoma"/>
      <family val="2"/>
    </font>
    <font>
      <b/>
      <sz val="10"/>
      <color theme="1"/>
      <name val="Calibri"/>
      <family val="2"/>
      <scheme val="minor"/>
    </font>
    <font>
      <sz val="9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53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 style="hair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1" tint="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1" tint="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 tint="0.499984740745262"/>
      </left>
      <right/>
      <top style="hair">
        <color auto="1"/>
      </top>
      <bottom style="hair">
        <color auto="1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1" tint="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1" tint="0.499984740745262"/>
      </bottom>
      <diagonal/>
    </border>
    <border>
      <left/>
      <right/>
      <top style="thin">
        <color theme="2" tint="-0.249977111117893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2" tint="-0.249977111117893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2" tint="-0.249977111117893"/>
      </right>
      <top style="thin">
        <color theme="2" tint="-0.249977111117893"/>
      </top>
      <bottom style="thin">
        <color theme="1" tint="0.49998474074526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1" tint="0.499984740745262"/>
      </bottom>
      <diagonal/>
    </border>
    <border>
      <left style="thin">
        <color theme="2" tint="-0.249977111117893"/>
      </left>
      <right style="thin">
        <color theme="1" tint="0.499984740745262"/>
      </right>
      <top style="thin">
        <color theme="2" tint="-0.249977111117893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2" tint="-0.249977111117893"/>
      </bottom>
      <diagonal/>
    </border>
    <border>
      <left/>
      <right/>
      <top style="thin">
        <color theme="1" tint="0.499984740745262"/>
      </top>
      <bottom style="thin">
        <color theme="2" tint="-0.249977111117893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2" tint="-0.249977111117893"/>
      </bottom>
      <diagonal/>
    </border>
    <border>
      <left style="thin">
        <color theme="1" tint="0.499984740745262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1" tint="0.499984740745262"/>
      </right>
      <top style="thin">
        <color theme="2" tint="-0.249977111117893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2" tint="-0.24994659260841701"/>
      </left>
      <right/>
      <top/>
      <bottom/>
      <diagonal/>
    </border>
    <border>
      <left/>
      <right style="thin">
        <color theme="2" tint="-0.2499465926084170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224">
    <xf numFmtId="0" fontId="0" fillId="0" borderId="0" xfId="0"/>
    <xf numFmtId="0" fontId="5" fillId="0" borderId="0" xfId="0" applyFont="1" applyAlignment="1">
      <alignment horizontal="right" vertical="center"/>
    </xf>
    <xf numFmtId="0" fontId="4" fillId="0" borderId="4" xfId="0" applyFont="1" applyBorder="1"/>
    <xf numFmtId="0" fontId="4" fillId="0" borderId="0" xfId="0" applyFont="1"/>
    <xf numFmtId="9" fontId="0" fillId="0" borderId="0" xfId="1" applyFont="1"/>
    <xf numFmtId="0" fontId="7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9" fontId="0" fillId="0" borderId="0" xfId="1" applyFon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center"/>
    </xf>
    <xf numFmtId="0" fontId="0" fillId="0" borderId="0" xfId="0" applyAlignment="1" applyProtection="1">
      <alignment horizontal="center" vertical="top"/>
      <protection locked="0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11" fillId="4" borderId="8" xfId="0" applyFont="1" applyFill="1" applyBorder="1" applyAlignment="1">
      <alignment horizontal="left" vertical="center" wrapText="1"/>
    </xf>
    <xf numFmtId="0" fontId="11" fillId="4" borderId="8" xfId="0" applyFont="1" applyFill="1" applyBorder="1" applyAlignment="1">
      <alignment vertical="center" wrapText="1"/>
    </xf>
    <xf numFmtId="0" fontId="11" fillId="3" borderId="8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 applyProtection="1">
      <alignment horizontal="center" vertical="top" wrapText="1"/>
      <protection locked="0"/>
    </xf>
    <xf numFmtId="0" fontId="15" fillId="0" borderId="0" xfId="0" applyFont="1"/>
    <xf numFmtId="0" fontId="0" fillId="3" borderId="8" xfId="0" applyFill="1" applyBorder="1" applyAlignment="1" applyProtection="1">
      <alignment horizontal="left" vertical="center" wrapText="1"/>
      <protection locked="0"/>
    </xf>
    <xf numFmtId="0" fontId="0" fillId="5" borderId="8" xfId="0" applyFill="1" applyBorder="1" applyAlignment="1" applyProtection="1">
      <alignment horizontal="left" vertical="center" wrapText="1"/>
      <protection locked="0"/>
    </xf>
    <xf numFmtId="0" fontId="0" fillId="3" borderId="8" xfId="0" applyFill="1" applyBorder="1" applyAlignment="1">
      <alignment horizontal="left" vertical="center" wrapText="1"/>
    </xf>
    <xf numFmtId="3" fontId="0" fillId="3" borderId="8" xfId="0" applyNumberFormat="1" applyFill="1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8" fillId="0" borderId="12" xfId="0" applyFont="1" applyBorder="1" applyAlignment="1">
      <alignment horizontal="left" vertical="center"/>
    </xf>
    <xf numFmtId="0" fontId="0" fillId="3" borderId="12" xfId="0" applyFill="1" applyBorder="1"/>
    <xf numFmtId="0" fontId="0" fillId="0" borderId="1" xfId="0" applyBorder="1" applyAlignment="1">
      <alignment horizontal="left" vertical="center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17" xfId="0" applyBorder="1" applyAlignment="1" applyProtection="1">
      <alignment horizontal="left" vertical="center"/>
      <protection locked="0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 applyProtection="1">
      <alignment horizontal="left" vertical="center"/>
      <protection locked="0"/>
    </xf>
    <xf numFmtId="0" fontId="0" fillId="0" borderId="24" xfId="0" applyBorder="1" applyAlignment="1" applyProtection="1">
      <alignment vertical="center"/>
      <protection locked="0"/>
    </xf>
    <xf numFmtId="0" fontId="0" fillId="0" borderId="24" xfId="0" applyBorder="1"/>
    <xf numFmtId="0" fontId="0" fillId="0" borderId="34" xfId="0" applyBorder="1" applyAlignment="1">
      <alignment horizontal="left"/>
    </xf>
    <xf numFmtId="0" fontId="18" fillId="0" borderId="12" xfId="0" applyFont="1" applyBorder="1" applyAlignment="1" applyProtection="1">
      <alignment horizontal="left" vertical="center"/>
      <protection locked="0"/>
    </xf>
    <xf numFmtId="0" fontId="0" fillId="0" borderId="34" xfId="0" applyBorder="1"/>
    <xf numFmtId="0" fontId="0" fillId="0" borderId="12" xfId="0" applyBorder="1"/>
    <xf numFmtId="0" fontId="0" fillId="0" borderId="23" xfId="0" applyBorder="1"/>
    <xf numFmtId="0" fontId="4" fillId="0" borderId="12" xfId="0" applyFont="1" applyBorder="1" applyAlignment="1">
      <alignment horizontal="left"/>
    </xf>
    <xf numFmtId="0" fontId="0" fillId="0" borderId="12" xfId="0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19" fillId="0" borderId="12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 wrapText="1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40" xfId="0" applyBorder="1" applyAlignment="1" applyProtection="1">
      <alignment horizontal="center" vertical="center"/>
      <protection locked="0"/>
    </xf>
    <xf numFmtId="0" fontId="0" fillId="0" borderId="41" xfId="0" applyBorder="1" applyAlignment="1" applyProtection="1">
      <alignment horizontal="left" vertical="center"/>
      <protection locked="0"/>
    </xf>
    <xf numFmtId="0" fontId="0" fillId="0" borderId="41" xfId="0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165" fontId="0" fillId="0" borderId="25" xfId="0" applyNumberFormat="1" applyBorder="1" applyAlignment="1" applyProtection="1">
      <alignment horizontal="left" vertical="center"/>
      <protection locked="0"/>
    </xf>
    <xf numFmtId="0" fontId="0" fillId="0" borderId="46" xfId="0" applyBorder="1"/>
    <xf numFmtId="0" fontId="0" fillId="0" borderId="2" xfId="0" applyBorder="1"/>
    <xf numFmtId="0" fontId="0" fillId="0" borderId="24" xfId="0" applyBorder="1" applyAlignment="1" applyProtection="1">
      <alignment horizontal="center" vertical="center"/>
      <protection locked="0"/>
    </xf>
    <xf numFmtId="0" fontId="0" fillId="7" borderId="40" xfId="0" applyFill="1" applyBorder="1" applyAlignment="1" applyProtection="1">
      <alignment horizontal="center" vertical="center"/>
      <protection locked="0"/>
    </xf>
    <xf numFmtId="0" fontId="8" fillId="0" borderId="47" xfId="0" applyFont="1" applyBorder="1" applyProtection="1">
      <protection locked="0"/>
    </xf>
    <xf numFmtId="0" fontId="8" fillId="0" borderId="2" xfId="0" applyFont="1" applyBorder="1"/>
    <xf numFmtId="0" fontId="0" fillId="0" borderId="48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0" xfId="0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0" xfId="0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1" xfId="0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0" borderId="0" xfId="0" applyFont="1"/>
    <xf numFmtId="0" fontId="0" fillId="0" borderId="12" xfId="0" applyBorder="1" applyAlignment="1" applyProtection="1">
      <alignment horizontal="center" vertical="center"/>
      <protection locked="0"/>
    </xf>
    <xf numFmtId="3" fontId="0" fillId="0" borderId="12" xfId="0" applyNumberFormat="1" applyBorder="1" applyAlignment="1" applyProtection="1">
      <alignment horizontal="center" vertical="center"/>
      <protection locked="0"/>
    </xf>
    <xf numFmtId="0" fontId="0" fillId="3" borderId="12" xfId="0" applyFill="1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2" xfId="0" quotePrefix="1" applyBorder="1" applyAlignment="1" applyProtection="1">
      <alignment horizontal="center" vertical="center"/>
      <protection locked="0"/>
    </xf>
    <xf numFmtId="0" fontId="0" fillId="0" borderId="12" xfId="0" applyBorder="1" applyAlignment="1">
      <alignment horizontal="left" vertical="center"/>
    </xf>
    <xf numFmtId="3" fontId="12" fillId="0" borderId="12" xfId="2" applyNumberFormat="1" applyBorder="1" applyAlignment="1" applyProtection="1">
      <alignment horizontal="center" vertical="center"/>
      <protection locked="0"/>
    </xf>
    <xf numFmtId="0" fontId="0" fillId="3" borderId="12" xfId="0" applyFill="1" applyBorder="1" applyAlignment="1">
      <alignment horizontal="center" vertical="center"/>
    </xf>
    <xf numFmtId="0" fontId="0" fillId="3" borderId="12" xfId="0" applyFill="1" applyBorder="1" applyAlignment="1" applyProtection="1">
      <alignment horizontal="center" vertical="center"/>
      <protection locked="0"/>
    </xf>
    <xf numFmtId="0" fontId="12" fillId="0" borderId="13" xfId="2" applyBorder="1" applyAlignment="1" applyProtection="1">
      <alignment horizontal="center" vertical="center"/>
      <protection locked="0"/>
    </xf>
    <xf numFmtId="0" fontId="12" fillId="0" borderId="15" xfId="2" applyBorder="1" applyAlignment="1" applyProtection="1">
      <alignment horizontal="center" vertical="center"/>
      <protection locked="0"/>
    </xf>
    <xf numFmtId="0" fontId="12" fillId="0" borderId="14" xfId="2" applyBorder="1" applyAlignment="1" applyProtection="1">
      <alignment horizontal="center" vertical="center"/>
      <protection locked="0"/>
    </xf>
    <xf numFmtId="0" fontId="12" fillId="0" borderId="12" xfId="2" applyBorder="1" applyAlignment="1" applyProtection="1">
      <alignment horizontal="center" vertical="center"/>
      <protection locked="0"/>
    </xf>
    <xf numFmtId="164" fontId="0" fillId="0" borderId="13" xfId="0" applyNumberFormat="1" applyBorder="1" applyAlignment="1" applyProtection="1">
      <alignment horizontal="center" vertical="center"/>
      <protection locked="0"/>
    </xf>
    <xf numFmtId="164" fontId="0" fillId="0" borderId="15" xfId="0" applyNumberFormat="1" applyBorder="1" applyAlignment="1" applyProtection="1">
      <alignment horizontal="center" vertical="center"/>
      <protection locked="0"/>
    </xf>
    <xf numFmtId="164" fontId="0" fillId="0" borderId="14" xfId="0" applyNumberFormat="1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4" fontId="0" fillId="0" borderId="12" xfId="0" applyNumberFormat="1" applyBorder="1" applyAlignment="1" applyProtection="1">
      <alignment horizontal="center" vertical="center"/>
      <protection locked="0"/>
    </xf>
    <xf numFmtId="3" fontId="0" fillId="0" borderId="12" xfId="0" applyNumberFormat="1" applyBorder="1" applyAlignment="1">
      <alignment horizontal="center" vertical="center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0" xfId="0" applyBorder="1" applyAlignment="1" applyProtection="1">
      <alignment horizontal="center" vertical="center"/>
      <protection locked="0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 wrapText="1"/>
    </xf>
    <xf numFmtId="0" fontId="11" fillId="3" borderId="11" xfId="0" applyFont="1" applyFill="1" applyBorder="1" applyAlignment="1">
      <alignment horizontal="left" vertical="center" wrapText="1"/>
    </xf>
    <xf numFmtId="0" fontId="11" fillId="3" borderId="9" xfId="0" applyFont="1" applyFill="1" applyBorder="1" applyAlignment="1">
      <alignment horizontal="left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2" fillId="3" borderId="9" xfId="0" applyFont="1" applyFill="1" applyBorder="1" applyAlignment="1" applyProtection="1">
      <alignment horizontal="left" vertical="center" wrapText="1"/>
      <protection locked="0"/>
    </xf>
    <xf numFmtId="0" fontId="3" fillId="3" borderId="10" xfId="0" applyFont="1" applyFill="1" applyBorder="1" applyAlignment="1" applyProtection="1">
      <alignment horizontal="left" vertical="center" wrapText="1"/>
      <protection locked="0"/>
    </xf>
    <xf numFmtId="0" fontId="3" fillId="3" borderId="11" xfId="0" applyFont="1" applyFill="1" applyBorder="1" applyAlignment="1" applyProtection="1">
      <alignment horizontal="left" vertical="center" wrapText="1"/>
      <protection locked="0"/>
    </xf>
    <xf numFmtId="0" fontId="3" fillId="5" borderId="9" xfId="0" applyFont="1" applyFill="1" applyBorder="1" applyAlignment="1" applyProtection="1">
      <alignment horizontal="left" vertical="center" wrapText="1"/>
      <protection locked="0"/>
    </xf>
    <xf numFmtId="0" fontId="3" fillId="5" borderId="10" xfId="0" applyFont="1" applyFill="1" applyBorder="1" applyAlignment="1" applyProtection="1">
      <alignment horizontal="left" vertical="center" wrapText="1"/>
      <protection locked="0"/>
    </xf>
    <xf numFmtId="0" fontId="3" fillId="5" borderId="11" xfId="0" applyFont="1" applyFill="1" applyBorder="1" applyAlignment="1" applyProtection="1">
      <alignment horizontal="left" vertical="center" wrapText="1"/>
      <protection locked="0"/>
    </xf>
    <xf numFmtId="0" fontId="3" fillId="3" borderId="9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 applyProtection="1">
      <alignment horizontal="left" vertical="center" wrapText="1"/>
      <protection locked="0"/>
    </xf>
    <xf numFmtId="3" fontId="3" fillId="3" borderId="9" xfId="0" applyNumberFormat="1" applyFont="1" applyFill="1" applyBorder="1" applyAlignment="1">
      <alignment horizontal="left" vertical="center" wrapText="1"/>
    </xf>
    <xf numFmtId="3" fontId="3" fillId="3" borderId="10" xfId="0" applyNumberFormat="1" applyFont="1" applyFill="1" applyBorder="1" applyAlignment="1">
      <alignment horizontal="left" vertical="center" wrapText="1"/>
    </xf>
    <xf numFmtId="3" fontId="3" fillId="3" borderId="11" xfId="0" applyNumberFormat="1" applyFont="1" applyFill="1" applyBorder="1" applyAlignment="1">
      <alignment horizontal="left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wrapText="1"/>
    </xf>
    <xf numFmtId="0" fontId="10" fillId="2" borderId="10" xfId="0" applyFont="1" applyFill="1" applyBorder="1" applyAlignment="1">
      <alignment horizontal="center" wrapText="1"/>
    </xf>
    <xf numFmtId="0" fontId="10" fillId="2" borderId="11" xfId="0" applyFont="1" applyFill="1" applyBorder="1" applyAlignment="1">
      <alignment horizontal="center" wrapText="1"/>
    </xf>
    <xf numFmtId="0" fontId="0" fillId="0" borderId="37" xfId="0" applyBorder="1" applyAlignment="1" applyProtection="1">
      <alignment horizontal="center" vertical="top"/>
      <protection locked="0"/>
    </xf>
    <xf numFmtId="0" fontId="0" fillId="0" borderId="6" xfId="0" applyBorder="1" applyAlignment="1" applyProtection="1">
      <alignment horizontal="center" vertical="top"/>
      <protection locked="0"/>
    </xf>
    <xf numFmtId="0" fontId="0" fillId="0" borderId="45" xfId="0" applyBorder="1" applyAlignment="1" applyProtection="1">
      <alignment horizontal="center" vertical="top"/>
      <protection locked="0"/>
    </xf>
    <xf numFmtId="0" fontId="0" fillId="0" borderId="35" xfId="0" applyBorder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0" borderId="36" xfId="0" applyBorder="1" applyAlignment="1" applyProtection="1">
      <alignment horizontal="center" vertical="top"/>
      <protection locked="0"/>
    </xf>
    <xf numFmtId="0" fontId="0" fillId="0" borderId="32" xfId="0" applyBorder="1" applyAlignment="1" applyProtection="1">
      <alignment horizontal="center" vertical="top"/>
      <protection locked="0"/>
    </xf>
    <xf numFmtId="0" fontId="0" fillId="0" borderId="5" xfId="0" applyBorder="1" applyAlignment="1" applyProtection="1">
      <alignment horizontal="center" vertical="top"/>
      <protection locked="0"/>
    </xf>
    <xf numFmtId="0" fontId="0" fillId="0" borderId="33" xfId="0" applyBorder="1" applyAlignment="1" applyProtection="1">
      <alignment horizontal="center" vertical="top"/>
      <protection locked="0"/>
    </xf>
    <xf numFmtId="0" fontId="0" fillId="0" borderId="42" xfId="0" applyBorder="1" applyAlignment="1">
      <alignment horizontal="left" vertical="top" wrapText="1"/>
    </xf>
    <xf numFmtId="0" fontId="0" fillId="0" borderId="43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quotePrefix="1" applyBorder="1" applyAlignment="1" applyProtection="1">
      <alignment horizontal="center" vertical="center"/>
      <protection locked="0"/>
    </xf>
    <xf numFmtId="0" fontId="12" fillId="0" borderId="2" xfId="2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17" fillId="6" borderId="13" xfId="0" applyFont="1" applyFill="1" applyBorder="1" applyAlignment="1">
      <alignment horizontal="left" vertical="center"/>
    </xf>
    <xf numFmtId="0" fontId="17" fillId="6" borderId="15" xfId="0" applyFont="1" applyFill="1" applyBorder="1" applyAlignment="1">
      <alignment horizontal="left" vertical="center"/>
    </xf>
    <xf numFmtId="0" fontId="17" fillId="6" borderId="14" xfId="0" applyFont="1" applyFill="1" applyBorder="1" applyAlignment="1">
      <alignment horizontal="left" vertical="center"/>
    </xf>
    <xf numFmtId="20" fontId="0" fillId="0" borderId="13" xfId="0" applyNumberFormat="1" applyBorder="1" applyAlignment="1" applyProtection="1">
      <alignment horizontal="left" vertical="center"/>
      <protection locked="0"/>
    </xf>
    <xf numFmtId="20" fontId="0" fillId="0" borderId="14" xfId="0" applyNumberFormat="1" applyBorder="1" applyAlignment="1" applyProtection="1">
      <alignment horizontal="left" vertical="center"/>
      <protection locked="0"/>
    </xf>
    <xf numFmtId="0" fontId="17" fillId="6" borderId="1" xfId="0" applyFont="1" applyFill="1" applyBorder="1" applyAlignment="1">
      <alignment horizontal="left" vertical="center"/>
    </xf>
    <xf numFmtId="0" fontId="17" fillId="6" borderId="2" xfId="0" applyFont="1" applyFill="1" applyBorder="1" applyAlignment="1">
      <alignment horizontal="left" vertical="center"/>
    </xf>
    <xf numFmtId="0" fontId="17" fillId="6" borderId="3" xfId="0" applyFont="1" applyFill="1" applyBorder="1" applyAlignment="1">
      <alignment horizontal="left" vertical="center"/>
    </xf>
    <xf numFmtId="20" fontId="0" fillId="0" borderId="29" xfId="0" applyNumberFormat="1" applyBorder="1" applyAlignment="1" applyProtection="1">
      <alignment horizontal="left" vertical="center"/>
      <protection locked="0"/>
    </xf>
    <xf numFmtId="20" fontId="0" fillId="0" borderId="30" xfId="0" applyNumberFormat="1" applyBorder="1" applyAlignment="1" applyProtection="1">
      <alignment horizontal="left" vertical="center"/>
      <protection locked="0"/>
    </xf>
    <xf numFmtId="20" fontId="0" fillId="0" borderId="31" xfId="0" applyNumberFormat="1" applyBorder="1" applyAlignment="1" applyProtection="1">
      <alignment horizontal="left" vertical="center"/>
      <protection locked="0"/>
    </xf>
    <xf numFmtId="20" fontId="0" fillId="0" borderId="35" xfId="0" applyNumberFormat="1" applyBorder="1" applyAlignment="1" applyProtection="1">
      <alignment horizontal="left" vertical="center"/>
      <protection locked="0"/>
    </xf>
    <xf numFmtId="20" fontId="0" fillId="0" borderId="0" xfId="0" applyNumberFormat="1" applyAlignment="1" applyProtection="1">
      <alignment horizontal="left" vertical="center"/>
      <protection locked="0"/>
    </xf>
    <xf numFmtId="20" fontId="0" fillId="0" borderId="36" xfId="0" applyNumberFormat="1" applyBorder="1" applyAlignment="1" applyProtection="1">
      <alignment horizontal="left" vertical="center"/>
      <protection locked="0"/>
    </xf>
    <xf numFmtId="20" fontId="0" fillId="0" borderId="32" xfId="0" applyNumberFormat="1" applyBorder="1" applyAlignment="1" applyProtection="1">
      <alignment horizontal="left" vertical="center"/>
      <protection locked="0"/>
    </xf>
    <xf numFmtId="20" fontId="0" fillId="0" borderId="5" xfId="0" applyNumberFormat="1" applyBorder="1" applyAlignment="1" applyProtection="1">
      <alignment horizontal="left" vertical="center"/>
      <protection locked="0"/>
    </xf>
    <xf numFmtId="20" fontId="0" fillId="0" borderId="33" xfId="0" applyNumberFormat="1" applyBorder="1" applyAlignment="1" applyProtection="1">
      <alignment horizontal="left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17" fillId="6" borderId="26" xfId="0" applyFont="1" applyFill="1" applyBorder="1" applyAlignment="1">
      <alignment horizontal="left" vertical="center"/>
    </xf>
    <xf numFmtId="0" fontId="17" fillId="6" borderId="27" xfId="0" applyFont="1" applyFill="1" applyBorder="1" applyAlignment="1">
      <alignment horizontal="left" vertical="center"/>
    </xf>
    <xf numFmtId="0" fontId="17" fillId="6" borderId="28" xfId="0" applyFont="1" applyFill="1" applyBorder="1" applyAlignment="1">
      <alignment horizontal="left" vertical="center"/>
    </xf>
    <xf numFmtId="0" fontId="0" fillId="0" borderId="16" xfId="0" applyBorder="1" applyAlignment="1" applyProtection="1">
      <alignment horizontal="center" vertical="center"/>
      <protection locked="0"/>
    </xf>
    <xf numFmtId="20" fontId="0" fillId="0" borderId="19" xfId="0" applyNumberFormat="1" applyBorder="1" applyAlignment="1" applyProtection="1">
      <alignment horizontal="left" vertical="center"/>
      <protection locked="0"/>
    </xf>
    <xf numFmtId="20" fontId="0" fillId="0" borderId="20" xfId="0" applyNumberFormat="1" applyBorder="1" applyAlignment="1" applyProtection="1">
      <alignment horizontal="left" vertical="center"/>
      <protection locked="0"/>
    </xf>
    <xf numFmtId="0" fontId="0" fillId="0" borderId="19" xfId="0" applyBorder="1" applyAlignment="1" applyProtection="1">
      <alignment horizontal="left" vertical="center"/>
      <protection locked="0"/>
    </xf>
    <xf numFmtId="0" fontId="0" fillId="0" borderId="20" xfId="0" applyBorder="1" applyAlignment="1" applyProtection="1">
      <alignment horizontal="left" vertical="center"/>
      <protection locked="0"/>
    </xf>
    <xf numFmtId="20" fontId="0" fillId="0" borderId="19" xfId="0" applyNumberFormat="1" applyBorder="1" applyAlignment="1" applyProtection="1">
      <alignment horizontal="center" vertical="center"/>
      <protection locked="0"/>
    </xf>
    <xf numFmtId="20" fontId="0" fillId="0" borderId="21" xfId="0" applyNumberFormat="1" applyBorder="1" applyAlignment="1" applyProtection="1">
      <alignment horizontal="center" vertical="center"/>
      <protection locked="0"/>
    </xf>
    <xf numFmtId="20" fontId="0" fillId="0" borderId="22" xfId="0" applyNumberFormat="1" applyBorder="1" applyAlignment="1" applyProtection="1">
      <alignment horizontal="center" vertical="center"/>
      <protection locked="0"/>
    </xf>
    <xf numFmtId="20" fontId="0" fillId="0" borderId="29" xfId="0" applyNumberFormat="1" applyBorder="1" applyAlignment="1" applyProtection="1">
      <alignment horizontal="center" vertical="center"/>
      <protection locked="0"/>
    </xf>
    <xf numFmtId="20" fontId="0" fillId="0" borderId="30" xfId="0" applyNumberFormat="1" applyBorder="1" applyAlignment="1" applyProtection="1">
      <alignment horizontal="center" vertical="center"/>
      <protection locked="0"/>
    </xf>
    <xf numFmtId="20" fontId="0" fillId="0" borderId="31" xfId="0" applyNumberFormat="1" applyBorder="1" applyAlignment="1" applyProtection="1">
      <alignment horizontal="center" vertical="center"/>
      <protection locked="0"/>
    </xf>
    <xf numFmtId="20" fontId="0" fillId="0" borderId="32" xfId="0" applyNumberFormat="1" applyBorder="1" applyAlignment="1" applyProtection="1">
      <alignment horizontal="center" vertical="center"/>
      <protection locked="0"/>
    </xf>
    <xf numFmtId="20" fontId="0" fillId="0" borderId="5" xfId="0" applyNumberFormat="1" applyBorder="1" applyAlignment="1" applyProtection="1">
      <alignment horizontal="center" vertical="center"/>
      <protection locked="0"/>
    </xf>
    <xf numFmtId="20" fontId="0" fillId="0" borderId="33" xfId="0" applyNumberFormat="1" applyBorder="1" applyAlignment="1" applyProtection="1">
      <alignment horizontal="center" vertical="center"/>
      <protection locked="0"/>
    </xf>
    <xf numFmtId="0" fontId="17" fillId="6" borderId="1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0" fillId="0" borderId="13" xfId="0" applyBorder="1" applyAlignment="1" applyProtection="1">
      <alignment horizontal="left"/>
      <protection locked="0"/>
    </xf>
    <xf numFmtId="0" fontId="0" fillId="0" borderId="15" xfId="0" applyBorder="1" applyAlignment="1" applyProtection="1">
      <alignment horizontal="left"/>
      <protection locked="0"/>
    </xf>
    <xf numFmtId="0" fontId="0" fillId="0" borderId="16" xfId="0" applyBorder="1" applyAlignment="1" applyProtection="1">
      <alignment horizontal="left"/>
      <protection locked="0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5" xfId="0" applyBorder="1" applyAlignment="1" applyProtection="1">
      <alignment horizontal="left" vertical="center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9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2" xfId="0" applyBorder="1" applyAlignment="1" applyProtection="1">
      <alignment horizontal="left" vertical="center"/>
      <protection locked="0"/>
    </xf>
    <xf numFmtId="0" fontId="17" fillId="6" borderId="12" xfId="0" applyFont="1" applyFill="1" applyBorder="1" applyAlignment="1">
      <alignment horizontal="left" vertical="center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16" xfId="0" applyBorder="1" applyAlignment="1" applyProtection="1">
      <alignment horizontal="left" vertical="center"/>
      <protection locked="0"/>
    </xf>
    <xf numFmtId="0" fontId="0" fillId="0" borderId="13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2" xfId="0" applyBorder="1" applyAlignment="1" applyProtection="1">
      <alignment horizontal="center"/>
      <protection locked="0"/>
    </xf>
    <xf numFmtId="0" fontId="17" fillId="6" borderId="38" xfId="0" applyFont="1" applyFill="1" applyBorder="1" applyAlignment="1">
      <alignment horizontal="center" vertical="center"/>
    </xf>
    <xf numFmtId="0" fontId="17" fillId="6" borderId="39" xfId="0" applyFont="1" applyFill="1" applyBorder="1" applyAlignment="1">
      <alignment horizontal="center" vertical="center"/>
    </xf>
    <xf numFmtId="0" fontId="17" fillId="6" borderId="37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/>
    </xf>
  </cellXfs>
  <cellStyles count="3">
    <cellStyle name="Hiperlink" xfId="2" builtinId="8"/>
    <cellStyle name="Normal" xfId="0" builtinId="0"/>
    <cellStyle name="Porcentagem" xfId="1" builtinId="5"/>
  </cellStyles>
  <dxfs count="58"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/>
      </font>
      <border>
        <left/>
        <right/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685115603736974E-2"/>
          <c:y val="0.14224288773896124"/>
          <c:w val="0.90258261312368271"/>
          <c:h val="0.72960109746025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Apoio!$L$4</c:f>
              <c:strCache>
                <c:ptCount val="1"/>
                <c:pt idx="0">
                  <c:v>Geral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75000"/>
                  </a:schemeClr>
                </a:gs>
                <a:gs pos="100000">
                  <a:schemeClr val="accent6">
                    <a:lumMod val="40000"/>
                    <a:lumOff val="60000"/>
                  </a:schemeClr>
                </a:gs>
              </a:gsLst>
              <a:lin ang="2160000" scaled="0"/>
              <a:tileRect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chemeClr val="accent6">
                      <a:lumMod val="75000"/>
                    </a:schemeClr>
                  </a:gs>
                  <a:gs pos="100000">
                    <a:schemeClr val="accent6">
                      <a:lumMod val="40000"/>
                      <a:lumOff val="60000"/>
                    </a:schemeClr>
                  </a:gs>
                </a:gsLst>
                <a:lin ang="6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8B-4F06-8759-87EA5C8B562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761998355915095"/>
                      <c:h val="0.6142842144731908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68B-4F06-8759-87EA5C8B56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Apoio!$O$4</c:f>
              <c:numCache>
                <c:formatCode>0%</c:formatCode>
                <c:ptCount val="1"/>
                <c:pt idx="0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B-4F06-8759-87EA5C8B56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600663344"/>
        <c:axId val="600665840"/>
      </c:barChart>
      <c:catAx>
        <c:axId val="600663344"/>
        <c:scaling>
          <c:orientation val="minMax"/>
        </c:scaling>
        <c:delete val="1"/>
        <c:axPos val="l"/>
        <c:majorTickMark val="out"/>
        <c:minorTickMark val="none"/>
        <c:tickLblPos val="nextTo"/>
        <c:crossAx val="600665840"/>
        <c:crosses val="autoZero"/>
        <c:auto val="1"/>
        <c:lblAlgn val="ctr"/>
        <c:lblOffset val="100"/>
        <c:noMultiLvlLbl val="0"/>
      </c:catAx>
      <c:valAx>
        <c:axId val="600665840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600663344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accent3"/>
          </a:solidFill>
          <a:prstDash val="solid"/>
          <a:miter lim="800000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685115603736974E-2"/>
          <c:y val="0.14224288773896124"/>
          <c:w val="0.90258261312368271"/>
          <c:h val="0.72960109746025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Apoio!$L$5</c:f>
              <c:strCache>
                <c:ptCount val="1"/>
                <c:pt idx="0">
                  <c:v>Comercial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75000"/>
                  </a:schemeClr>
                </a:gs>
                <a:gs pos="100000">
                  <a:schemeClr val="accent6">
                    <a:lumMod val="40000"/>
                    <a:lumOff val="60000"/>
                  </a:schemeClr>
                </a:gs>
              </a:gsLst>
              <a:lin ang="2160000" scaled="0"/>
              <a:tileRect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chemeClr val="accent6">
                      <a:lumMod val="75000"/>
                    </a:schemeClr>
                  </a:gs>
                  <a:gs pos="100000">
                    <a:schemeClr val="accent6">
                      <a:lumMod val="40000"/>
                      <a:lumOff val="60000"/>
                    </a:schemeClr>
                  </a:gs>
                </a:gsLst>
                <a:lin ang="6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D0C-49BF-A23C-28D34C1103A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761998355915095"/>
                      <c:h val="0.6142842144731908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7D0C-49BF-A23C-28D34C1103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Apoio!$O$5</c:f>
              <c:numCache>
                <c:formatCode>0%</c:formatCode>
                <c:ptCount val="1"/>
                <c:pt idx="0">
                  <c:v>0.9375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0C-49BF-A23C-28D34C1103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600663344"/>
        <c:axId val="600665840"/>
      </c:barChart>
      <c:catAx>
        <c:axId val="600663344"/>
        <c:scaling>
          <c:orientation val="minMax"/>
        </c:scaling>
        <c:delete val="1"/>
        <c:axPos val="l"/>
        <c:majorTickMark val="out"/>
        <c:minorTickMark val="none"/>
        <c:tickLblPos val="nextTo"/>
        <c:crossAx val="600665840"/>
        <c:crosses val="autoZero"/>
        <c:auto val="1"/>
        <c:lblAlgn val="ctr"/>
        <c:lblOffset val="100"/>
        <c:noMultiLvlLbl val="0"/>
      </c:catAx>
      <c:valAx>
        <c:axId val="600665840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600663344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accent3"/>
          </a:solidFill>
          <a:prstDash val="solid"/>
          <a:miter lim="800000"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685115603736974E-2"/>
          <c:y val="0.14224288773896124"/>
          <c:w val="0.90258261312368271"/>
          <c:h val="0.72960109746025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Apoio!$L$6</c:f>
              <c:strCache>
                <c:ptCount val="1"/>
                <c:pt idx="0">
                  <c:v>Financeiro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75000"/>
                  </a:schemeClr>
                </a:gs>
                <a:gs pos="100000">
                  <a:schemeClr val="accent6">
                    <a:lumMod val="40000"/>
                    <a:lumOff val="60000"/>
                  </a:schemeClr>
                </a:gs>
              </a:gsLst>
              <a:lin ang="2160000" scaled="0"/>
              <a:tileRect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chemeClr val="accent6">
                      <a:lumMod val="75000"/>
                    </a:schemeClr>
                  </a:gs>
                  <a:gs pos="100000">
                    <a:schemeClr val="accent6">
                      <a:lumMod val="40000"/>
                      <a:lumOff val="60000"/>
                    </a:schemeClr>
                  </a:gs>
                </a:gsLst>
                <a:lin ang="6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55E-41FC-B60E-C7520BB25CF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761998355915095"/>
                      <c:h val="0.6142842144731908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55E-41FC-B60E-C7520BB25C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Apoio!$O$6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5E-41FC-B60E-C7520BB25C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600663344"/>
        <c:axId val="600665840"/>
      </c:barChart>
      <c:catAx>
        <c:axId val="600663344"/>
        <c:scaling>
          <c:orientation val="minMax"/>
        </c:scaling>
        <c:delete val="1"/>
        <c:axPos val="l"/>
        <c:majorTickMark val="out"/>
        <c:minorTickMark val="none"/>
        <c:tickLblPos val="nextTo"/>
        <c:crossAx val="600665840"/>
        <c:crosses val="autoZero"/>
        <c:auto val="1"/>
        <c:lblAlgn val="ctr"/>
        <c:lblOffset val="100"/>
        <c:noMultiLvlLbl val="0"/>
      </c:catAx>
      <c:valAx>
        <c:axId val="600665840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600663344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accent3"/>
          </a:solidFill>
          <a:prstDash val="solid"/>
          <a:miter lim="800000"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685115603736974E-2"/>
          <c:y val="0.14224288773896124"/>
          <c:w val="0.90258261312368271"/>
          <c:h val="0.72960109746025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Apoio!$L$9</c:f>
              <c:strCache>
                <c:ptCount val="1"/>
                <c:pt idx="0">
                  <c:v>TI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75000"/>
                  </a:schemeClr>
                </a:gs>
                <a:gs pos="100000">
                  <a:schemeClr val="accent6">
                    <a:lumMod val="40000"/>
                    <a:lumOff val="60000"/>
                  </a:schemeClr>
                </a:gs>
              </a:gsLst>
              <a:lin ang="2160000" scaled="0"/>
              <a:tileRect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chemeClr val="accent6">
                      <a:lumMod val="75000"/>
                    </a:schemeClr>
                  </a:gs>
                  <a:gs pos="100000">
                    <a:schemeClr val="accent6">
                      <a:lumMod val="40000"/>
                      <a:lumOff val="60000"/>
                    </a:schemeClr>
                  </a:gs>
                </a:gsLst>
                <a:lin ang="6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D8F-450B-80C9-E5C1668D90B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761998355915095"/>
                      <c:h val="0.6142842144731908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ED8F-450B-80C9-E5C1668D90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Apoio!$O$9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8F-450B-80C9-E5C1668D90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600663344"/>
        <c:axId val="600665840"/>
      </c:barChart>
      <c:catAx>
        <c:axId val="600663344"/>
        <c:scaling>
          <c:orientation val="minMax"/>
        </c:scaling>
        <c:delete val="1"/>
        <c:axPos val="l"/>
        <c:majorTickMark val="out"/>
        <c:minorTickMark val="none"/>
        <c:tickLblPos val="nextTo"/>
        <c:crossAx val="600665840"/>
        <c:crosses val="autoZero"/>
        <c:auto val="1"/>
        <c:lblAlgn val="ctr"/>
        <c:lblOffset val="100"/>
        <c:noMultiLvlLbl val="0"/>
      </c:catAx>
      <c:valAx>
        <c:axId val="600665840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600663344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accent3"/>
          </a:solidFill>
          <a:prstDash val="solid"/>
          <a:miter lim="800000"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685115603736974E-2"/>
          <c:y val="0.14224288773896124"/>
          <c:w val="0.90258261312368271"/>
          <c:h val="0.7296010974602567"/>
        </c:manualLayout>
      </c:layout>
      <c:barChart>
        <c:barDir val="bar"/>
        <c:grouping val="clustered"/>
        <c:varyColors val="0"/>
        <c:ser>
          <c:idx val="0"/>
          <c:order val="0"/>
          <c:tx>
            <c:v>Operações</c:v>
          </c:tx>
          <c:spPr>
            <a:gradFill flip="none" rotWithShape="1">
              <a:gsLst>
                <a:gs pos="0">
                  <a:schemeClr val="accent6">
                    <a:lumMod val="75000"/>
                  </a:schemeClr>
                </a:gs>
                <a:gs pos="100000">
                  <a:schemeClr val="accent6">
                    <a:lumMod val="40000"/>
                    <a:lumOff val="60000"/>
                  </a:schemeClr>
                </a:gs>
              </a:gsLst>
              <a:lin ang="2160000" scaled="0"/>
              <a:tileRect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chemeClr val="accent6">
                      <a:lumMod val="75000"/>
                    </a:schemeClr>
                  </a:gs>
                  <a:gs pos="100000">
                    <a:schemeClr val="accent6">
                      <a:lumMod val="40000"/>
                      <a:lumOff val="60000"/>
                    </a:schemeClr>
                  </a:gs>
                </a:gsLst>
                <a:lin ang="6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B4-4891-BA86-A44F86B9BB41}"/>
              </c:ext>
            </c:extLst>
          </c:dPt>
          <c:dLbls>
            <c:dLbl>
              <c:idx val="0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761998355915095"/>
                      <c:h val="0.6142842144731908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DB4-4891-BA86-A44F86B9BB41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Apoio!$O$7</c:f>
              <c:numCache>
                <c:formatCode>0%</c:formatCode>
                <c:ptCount val="1"/>
                <c:pt idx="0">
                  <c:v>0.59649122807017541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B4-4891-BA86-A44F86B9BB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600663344"/>
        <c:axId val="600665840"/>
      </c:barChart>
      <c:catAx>
        <c:axId val="600663344"/>
        <c:scaling>
          <c:orientation val="minMax"/>
        </c:scaling>
        <c:delete val="1"/>
        <c:axPos val="l"/>
        <c:majorTickMark val="out"/>
        <c:minorTickMark val="none"/>
        <c:tickLblPos val="nextTo"/>
        <c:crossAx val="600665840"/>
        <c:crosses val="autoZero"/>
        <c:auto val="1"/>
        <c:lblAlgn val="ctr"/>
        <c:lblOffset val="100"/>
        <c:noMultiLvlLbl val="0"/>
      </c:catAx>
      <c:valAx>
        <c:axId val="600665840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600663344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accent3"/>
          </a:solidFill>
          <a:prstDash val="solid"/>
          <a:miter lim="800000"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685115603736974E-2"/>
          <c:y val="0.14224288773896124"/>
          <c:w val="0.90258261312368271"/>
          <c:h val="0.7296010974602567"/>
        </c:manualLayout>
      </c:layout>
      <c:barChart>
        <c:barDir val="bar"/>
        <c:grouping val="clustered"/>
        <c:varyColors val="0"/>
        <c:ser>
          <c:idx val="0"/>
          <c:order val="0"/>
          <c:tx>
            <c:v>Customer Success</c:v>
          </c:tx>
          <c:spPr>
            <a:gradFill flip="none" rotWithShape="1">
              <a:gsLst>
                <a:gs pos="0">
                  <a:schemeClr val="accent6">
                    <a:lumMod val="75000"/>
                  </a:schemeClr>
                </a:gs>
                <a:gs pos="100000">
                  <a:schemeClr val="accent6">
                    <a:lumMod val="40000"/>
                    <a:lumOff val="60000"/>
                  </a:schemeClr>
                </a:gs>
              </a:gsLst>
              <a:lin ang="2160000" scaled="0"/>
              <a:tileRect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chemeClr val="accent6">
                      <a:lumMod val="75000"/>
                    </a:schemeClr>
                  </a:gs>
                  <a:gs pos="100000">
                    <a:schemeClr val="accent6">
                      <a:lumMod val="40000"/>
                      <a:lumOff val="60000"/>
                    </a:schemeClr>
                  </a:gs>
                </a:gsLst>
                <a:lin ang="6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532-4F49-870A-F127CECD8E6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761998355915095"/>
                      <c:h val="0.6142842144731908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532-4F49-870A-F127CECD8E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Apoio!$O$8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32-4F49-870A-F127CECD8E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600663344"/>
        <c:axId val="600665840"/>
      </c:barChart>
      <c:catAx>
        <c:axId val="600663344"/>
        <c:scaling>
          <c:orientation val="minMax"/>
        </c:scaling>
        <c:delete val="1"/>
        <c:axPos val="l"/>
        <c:majorTickMark val="out"/>
        <c:minorTickMark val="none"/>
        <c:tickLblPos val="nextTo"/>
        <c:crossAx val="600665840"/>
        <c:crosses val="autoZero"/>
        <c:auto val="1"/>
        <c:lblAlgn val="ctr"/>
        <c:lblOffset val="100"/>
        <c:noMultiLvlLbl val="0"/>
      </c:catAx>
      <c:valAx>
        <c:axId val="600665840"/>
        <c:scaling>
          <c:orientation val="minMax"/>
          <c:max val="1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600663344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accent3"/>
          </a:solidFill>
          <a:prstDash val="solid"/>
          <a:miter lim="800000"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Comercial!A1"/><Relationship Id="rId7" Type="http://schemas.openxmlformats.org/officeDocument/2006/relationships/hyperlink" Target="#CX!A1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hyperlink" Target="#Opera&#231;&#245;es!A1"/><Relationship Id="rId5" Type="http://schemas.openxmlformats.org/officeDocument/2006/relationships/hyperlink" Target="#TI!A1"/><Relationship Id="rId4" Type="http://schemas.openxmlformats.org/officeDocument/2006/relationships/hyperlink" Target="#Financeiro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Geral!A1"/><Relationship Id="rId7" Type="http://schemas.openxmlformats.org/officeDocument/2006/relationships/hyperlink" Target="#CX!A1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6" Type="http://schemas.openxmlformats.org/officeDocument/2006/relationships/hyperlink" Target="#Opera&#231;&#245;es!A1"/><Relationship Id="rId5" Type="http://schemas.openxmlformats.org/officeDocument/2006/relationships/hyperlink" Target="#TI!A1"/><Relationship Id="rId4" Type="http://schemas.openxmlformats.org/officeDocument/2006/relationships/hyperlink" Target="#Financeiro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Geral!A1"/><Relationship Id="rId7" Type="http://schemas.openxmlformats.org/officeDocument/2006/relationships/hyperlink" Target="#CX!A1"/><Relationship Id="rId2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hyperlink" Target="#Opera&#231;&#245;es!A1"/><Relationship Id="rId5" Type="http://schemas.openxmlformats.org/officeDocument/2006/relationships/hyperlink" Target="#TI!A1"/><Relationship Id="rId4" Type="http://schemas.openxmlformats.org/officeDocument/2006/relationships/hyperlink" Target="#Comercial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Geral!A1"/><Relationship Id="rId7" Type="http://schemas.openxmlformats.org/officeDocument/2006/relationships/hyperlink" Target="#CX!A1"/><Relationship Id="rId2" Type="http://schemas.openxmlformats.org/officeDocument/2006/relationships/chart" Target="../charts/chart4.xml"/><Relationship Id="rId1" Type="http://schemas.openxmlformats.org/officeDocument/2006/relationships/image" Target="../media/image1.png"/><Relationship Id="rId6" Type="http://schemas.openxmlformats.org/officeDocument/2006/relationships/hyperlink" Target="#Opera&#231;&#245;es!A1"/><Relationship Id="rId5" Type="http://schemas.openxmlformats.org/officeDocument/2006/relationships/hyperlink" Target="#Financeiro!A1"/><Relationship Id="rId4" Type="http://schemas.openxmlformats.org/officeDocument/2006/relationships/hyperlink" Target="#Comercial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Geral!A1"/><Relationship Id="rId7" Type="http://schemas.openxmlformats.org/officeDocument/2006/relationships/hyperlink" Target="#CX!A1"/><Relationship Id="rId2" Type="http://schemas.openxmlformats.org/officeDocument/2006/relationships/chart" Target="../charts/chart5.xml"/><Relationship Id="rId1" Type="http://schemas.openxmlformats.org/officeDocument/2006/relationships/image" Target="../media/image1.png"/><Relationship Id="rId6" Type="http://schemas.openxmlformats.org/officeDocument/2006/relationships/hyperlink" Target="#TI!A1"/><Relationship Id="rId5" Type="http://schemas.openxmlformats.org/officeDocument/2006/relationships/hyperlink" Target="#Financeiro!A1"/><Relationship Id="rId4" Type="http://schemas.openxmlformats.org/officeDocument/2006/relationships/hyperlink" Target="#Comercial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Geral!A1"/><Relationship Id="rId7" Type="http://schemas.openxmlformats.org/officeDocument/2006/relationships/hyperlink" Target="#Opera&#231;&#245;es!A1"/><Relationship Id="rId2" Type="http://schemas.openxmlformats.org/officeDocument/2006/relationships/image" Target="../media/image1.png"/><Relationship Id="rId1" Type="http://schemas.openxmlformats.org/officeDocument/2006/relationships/chart" Target="../charts/chart6.xml"/><Relationship Id="rId6" Type="http://schemas.openxmlformats.org/officeDocument/2006/relationships/hyperlink" Target="#TI!A1"/><Relationship Id="rId5" Type="http://schemas.openxmlformats.org/officeDocument/2006/relationships/hyperlink" Target="#Financeiro!A1"/><Relationship Id="rId4" Type="http://schemas.openxmlformats.org/officeDocument/2006/relationships/hyperlink" Target="#Comercial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331470</xdr:colOff>
      <xdr:row>1</xdr:row>
      <xdr:rowOff>114300</xdr:rowOff>
    </xdr:from>
    <xdr:to>
      <xdr:col>1</xdr:col>
      <xdr:colOff>1609725</xdr:colOff>
      <xdr:row>4</xdr:row>
      <xdr:rowOff>117645</xdr:rowOff>
    </xdr:to>
    <xdr:pic>
      <xdr:nvPicPr>
        <xdr:cNvPr id="2" name="Imagem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6700"/>
          <a:ext cx="1685925" cy="460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363131</xdr:colOff>
      <xdr:row>1</xdr:row>
      <xdr:rowOff>105543</xdr:rowOff>
    </xdr:from>
    <xdr:to>
      <xdr:col>6</xdr:col>
      <xdr:colOff>468630</xdr:colOff>
      <xdr:row>4</xdr:row>
      <xdr:rowOff>53463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616746" y="259848"/>
          <a:ext cx="2545804" cy="39940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800" b="1" cap="none" spc="0">
              <a:ln w="0"/>
              <a:solidFill>
                <a:schemeClr val="bg1">
                  <a:lumMod val="50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rPr>
            <a:t>Cadastro de Cliente</a:t>
          </a:r>
        </a:p>
      </xdr:txBody>
    </xdr:sp>
    <xdr:clientData/>
  </xdr:twoCellAnchor>
  <xdr:twoCellAnchor>
    <xdr:from>
      <xdr:col>7</xdr:col>
      <xdr:colOff>990604</xdr:colOff>
      <xdr:row>4</xdr:row>
      <xdr:rowOff>76199</xdr:rowOff>
    </xdr:from>
    <xdr:to>
      <xdr:col>9</xdr:col>
      <xdr:colOff>38100</xdr:colOff>
      <xdr:row>6</xdr:row>
      <xdr:rowOff>104774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FFD6231-4687-4A48-96FB-0D72CC85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26670</xdr:colOff>
      <xdr:row>7</xdr:row>
      <xdr:rowOff>53340</xdr:rowOff>
    </xdr:from>
    <xdr:to>
      <xdr:col>1</xdr:col>
      <xdr:colOff>979245</xdr:colOff>
      <xdr:row>9</xdr:row>
      <xdr:rowOff>38100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07670" y="1158240"/>
          <a:ext cx="952575" cy="289560"/>
        </a:xfrm>
        <a:prstGeom prst="rect">
          <a:avLst/>
        </a:prstGeom>
        <a:solidFill>
          <a:srgbClr val="C0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t>Geral</a:t>
          </a:r>
        </a:p>
      </xdr:txBody>
    </xdr:sp>
    <xdr:clientData/>
  </xdr:twoCellAnchor>
  <xdr:twoCellAnchor>
    <xdr:from>
      <xdr:col>1</xdr:col>
      <xdr:colOff>1032473</xdr:colOff>
      <xdr:row>7</xdr:row>
      <xdr:rowOff>53340</xdr:rowOff>
    </xdr:from>
    <xdr:to>
      <xdr:col>2</xdr:col>
      <xdr:colOff>99098</xdr:colOff>
      <xdr:row>9</xdr:row>
      <xdr:rowOff>38100</xdr:rowOff>
    </xdr:to>
    <xdr:sp macro="" textlink="">
      <xdr:nvSpPr>
        <xdr:cNvPr id="6" name="Retângulo 5">
          <a:hlinkClick xmlns:r="http://schemas.openxmlformats.org/officeDocument/2006/relationships" r:id="rId3" tooltip="Comercial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413473" y="1158240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Comercial</a:t>
          </a:r>
        </a:p>
      </xdr:txBody>
    </xdr:sp>
    <xdr:clientData/>
  </xdr:twoCellAnchor>
  <xdr:twoCellAnchor>
    <xdr:from>
      <xdr:col>2</xdr:col>
      <xdr:colOff>152325</xdr:colOff>
      <xdr:row>7</xdr:row>
      <xdr:rowOff>53340</xdr:rowOff>
    </xdr:from>
    <xdr:to>
      <xdr:col>3</xdr:col>
      <xdr:colOff>495300</xdr:colOff>
      <xdr:row>9</xdr:row>
      <xdr:rowOff>38100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419275" y="1158240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Financeiro</a:t>
          </a:r>
        </a:p>
      </xdr:txBody>
    </xdr:sp>
    <xdr:clientData/>
  </xdr:twoCellAnchor>
  <xdr:twoCellAnchor>
    <xdr:from>
      <xdr:col>3</xdr:col>
      <xdr:colOff>561975</xdr:colOff>
      <xdr:row>7</xdr:row>
      <xdr:rowOff>53340</xdr:rowOff>
    </xdr:from>
    <xdr:to>
      <xdr:col>5</xdr:col>
      <xdr:colOff>295350</xdr:colOff>
      <xdr:row>9</xdr:row>
      <xdr:rowOff>38100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520D78E-1593-4DDC-AB43-EF3FEA6BC80A}"/>
            </a:ext>
          </a:extLst>
        </xdr:cNvPr>
        <xdr:cNvSpPr/>
      </xdr:nvSpPr>
      <xdr:spPr>
        <a:xfrm>
          <a:off x="3438525" y="1158240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TI</a:t>
          </a:r>
        </a:p>
      </xdr:txBody>
    </xdr:sp>
    <xdr:clientData/>
  </xdr:twoCellAnchor>
  <xdr:twoCellAnchor>
    <xdr:from>
      <xdr:col>5</xdr:col>
      <xdr:colOff>352425</xdr:colOff>
      <xdr:row>7</xdr:row>
      <xdr:rowOff>53340</xdr:rowOff>
    </xdr:from>
    <xdr:to>
      <xdr:col>6</xdr:col>
      <xdr:colOff>695400</xdr:colOff>
      <xdr:row>9</xdr:row>
      <xdr:rowOff>38100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4CD2221-C9A6-41FA-8804-6C6073A40369}"/>
            </a:ext>
          </a:extLst>
        </xdr:cNvPr>
        <xdr:cNvSpPr/>
      </xdr:nvSpPr>
      <xdr:spPr>
        <a:xfrm>
          <a:off x="4448175" y="1158240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Operações</a:t>
          </a:r>
        </a:p>
      </xdr:txBody>
    </xdr:sp>
    <xdr:clientData/>
  </xdr:twoCellAnchor>
  <xdr:twoCellAnchor>
    <xdr:from>
      <xdr:col>6</xdr:col>
      <xdr:colOff>742950</xdr:colOff>
      <xdr:row>7</xdr:row>
      <xdr:rowOff>53340</xdr:rowOff>
    </xdr:from>
    <xdr:to>
      <xdr:col>7</xdr:col>
      <xdr:colOff>266775</xdr:colOff>
      <xdr:row>9</xdr:row>
      <xdr:rowOff>38100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43E2B6B-D27B-4B66-A636-521E6EA02C13}"/>
            </a:ext>
          </a:extLst>
        </xdr:cNvPr>
        <xdr:cNvSpPr/>
      </xdr:nvSpPr>
      <xdr:spPr>
        <a:xfrm>
          <a:off x="5448300" y="1158240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CX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333375</xdr:colOff>
      <xdr:row>1</xdr:row>
      <xdr:rowOff>114300</xdr:rowOff>
    </xdr:from>
    <xdr:to>
      <xdr:col>1</xdr:col>
      <xdr:colOff>1638300</xdr:colOff>
      <xdr:row>4</xdr:row>
      <xdr:rowOff>117645</xdr:rowOff>
    </xdr:to>
    <xdr:pic>
      <xdr:nvPicPr>
        <xdr:cNvPr id="2" name="Imagem 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6700"/>
          <a:ext cx="1685925" cy="460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3086</xdr:colOff>
      <xdr:row>1</xdr:row>
      <xdr:rowOff>107448</xdr:rowOff>
    </xdr:from>
    <xdr:to>
      <xdr:col>5</xdr:col>
      <xdr:colOff>457200</xdr:colOff>
      <xdr:row>4</xdr:row>
      <xdr:rowOff>49653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616746" y="259848"/>
          <a:ext cx="2545804" cy="39940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800" b="1" cap="none" spc="0">
              <a:ln w="0"/>
              <a:solidFill>
                <a:schemeClr val="bg1">
                  <a:lumMod val="50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rPr>
            <a:t>Cadastro de Cliente</a:t>
          </a:r>
        </a:p>
      </xdr:txBody>
    </xdr:sp>
    <xdr:clientData/>
  </xdr:twoCellAnchor>
  <xdr:twoCellAnchor editAs="absolute">
    <xdr:from>
      <xdr:col>7</xdr:col>
      <xdr:colOff>66675</xdr:colOff>
      <xdr:row>4</xdr:row>
      <xdr:rowOff>57150</xdr:rowOff>
    </xdr:from>
    <xdr:to>
      <xdr:col>8</xdr:col>
      <xdr:colOff>123821</xdr:colOff>
      <xdr:row>6</xdr:row>
      <xdr:rowOff>85725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1C98A33-3DC0-47EE-9330-9187026AE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0</xdr:colOff>
      <xdr:row>6</xdr:row>
      <xdr:rowOff>0</xdr:rowOff>
    </xdr:from>
    <xdr:to>
      <xdr:col>1</xdr:col>
      <xdr:colOff>952575</xdr:colOff>
      <xdr:row>7</xdr:row>
      <xdr:rowOff>137160</xdr:rowOff>
    </xdr:to>
    <xdr:sp macro="" textlink="">
      <xdr:nvSpPr>
        <xdr:cNvPr id="5" name="Retângulo 4">
          <a:hlinkClick xmlns:r="http://schemas.openxmlformats.org/officeDocument/2006/relationships" r:id="rId3" tooltip="Geral"/>
          <a:extLst>
            <a:ext uri="{FF2B5EF4-FFF2-40B4-BE49-F238E27FC236}">
              <a16:creationId xmlns:a16="http://schemas.microsoft.com/office/drawing/2014/main" id="{EF053D6B-485C-AE1B-89B6-D4F109C75D5E}"/>
            </a:ext>
          </a:extLst>
        </xdr:cNvPr>
        <xdr:cNvSpPr/>
      </xdr:nvSpPr>
      <xdr:spPr>
        <a:xfrm>
          <a:off x="381000" y="952500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Geral</a:t>
          </a:r>
        </a:p>
      </xdr:txBody>
    </xdr:sp>
    <xdr:clientData/>
  </xdr:twoCellAnchor>
  <xdr:twoCellAnchor editAs="absolute">
    <xdr:from>
      <xdr:col>1</xdr:col>
      <xdr:colOff>1005803</xdr:colOff>
      <xdr:row>6</xdr:row>
      <xdr:rowOff>0</xdr:rowOff>
    </xdr:from>
    <xdr:to>
      <xdr:col>1</xdr:col>
      <xdr:colOff>1958378</xdr:colOff>
      <xdr:row>7</xdr:row>
      <xdr:rowOff>137160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76C1B5C-FAB1-CE8E-7D03-3D07C73EA09F}"/>
            </a:ext>
          </a:extLst>
        </xdr:cNvPr>
        <xdr:cNvSpPr/>
      </xdr:nvSpPr>
      <xdr:spPr>
        <a:xfrm>
          <a:off x="1386803" y="952500"/>
          <a:ext cx="952575" cy="289560"/>
        </a:xfrm>
        <a:prstGeom prst="rect">
          <a:avLst/>
        </a:prstGeom>
        <a:solidFill>
          <a:srgbClr val="C0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t>Comercial</a:t>
          </a:r>
        </a:p>
      </xdr:txBody>
    </xdr:sp>
    <xdr:clientData/>
  </xdr:twoCellAnchor>
  <xdr:twoCellAnchor editAs="absolute">
    <xdr:from>
      <xdr:col>1</xdr:col>
      <xdr:colOff>2011605</xdr:colOff>
      <xdr:row>6</xdr:row>
      <xdr:rowOff>0</xdr:rowOff>
    </xdr:from>
    <xdr:to>
      <xdr:col>2</xdr:col>
      <xdr:colOff>535305</xdr:colOff>
      <xdr:row>7</xdr:row>
      <xdr:rowOff>137160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D3DF78F-DED6-E888-59F1-F4260C5DB196}"/>
            </a:ext>
          </a:extLst>
        </xdr:cNvPr>
        <xdr:cNvSpPr/>
      </xdr:nvSpPr>
      <xdr:spPr>
        <a:xfrm>
          <a:off x="2392605" y="952500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Financeiro</a:t>
          </a:r>
        </a:p>
      </xdr:txBody>
    </xdr:sp>
    <xdr:clientData/>
  </xdr:twoCellAnchor>
  <xdr:twoCellAnchor editAs="absolute">
    <xdr:from>
      <xdr:col>3</xdr:col>
      <xdr:colOff>0</xdr:colOff>
      <xdr:row>6</xdr:row>
      <xdr:rowOff>0</xdr:rowOff>
    </xdr:from>
    <xdr:to>
      <xdr:col>4</xdr:col>
      <xdr:colOff>335355</xdr:colOff>
      <xdr:row>7</xdr:row>
      <xdr:rowOff>137160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EA3914A-F6DF-C3F5-E4E3-8A9FCE5CFA88}"/>
            </a:ext>
          </a:extLst>
        </xdr:cNvPr>
        <xdr:cNvSpPr/>
      </xdr:nvSpPr>
      <xdr:spPr>
        <a:xfrm>
          <a:off x="3411855" y="952500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TI</a:t>
          </a:r>
        </a:p>
      </xdr:txBody>
    </xdr:sp>
    <xdr:clientData/>
  </xdr:twoCellAnchor>
  <xdr:twoCellAnchor editAs="absolute">
    <xdr:from>
      <xdr:col>4</xdr:col>
      <xdr:colOff>392430</xdr:colOff>
      <xdr:row>6</xdr:row>
      <xdr:rowOff>0</xdr:rowOff>
    </xdr:from>
    <xdr:to>
      <xdr:col>5</xdr:col>
      <xdr:colOff>668730</xdr:colOff>
      <xdr:row>7</xdr:row>
      <xdr:rowOff>137160</xdr:rowOff>
    </xdr:to>
    <xdr:sp macro="" textlink="">
      <xdr:nvSpPr>
        <xdr:cNvPr id="10" name="Retângulo 9">
          <a:hlinkClick xmlns:r="http://schemas.openxmlformats.org/officeDocument/2006/relationships" r:id="rId6" tooltip="Operações"/>
          <a:extLst>
            <a:ext uri="{FF2B5EF4-FFF2-40B4-BE49-F238E27FC236}">
              <a16:creationId xmlns:a16="http://schemas.microsoft.com/office/drawing/2014/main" id="{1B686E39-CAA6-C32C-0EF7-96D08057A14B}"/>
            </a:ext>
          </a:extLst>
        </xdr:cNvPr>
        <xdr:cNvSpPr/>
      </xdr:nvSpPr>
      <xdr:spPr>
        <a:xfrm>
          <a:off x="4421505" y="952500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Operações</a:t>
          </a:r>
        </a:p>
      </xdr:txBody>
    </xdr:sp>
    <xdr:clientData/>
  </xdr:twoCellAnchor>
  <xdr:twoCellAnchor editAs="absolute">
    <xdr:from>
      <xdr:col>5</xdr:col>
      <xdr:colOff>716280</xdr:colOff>
      <xdr:row>6</xdr:row>
      <xdr:rowOff>0</xdr:rowOff>
    </xdr:from>
    <xdr:to>
      <xdr:col>5</xdr:col>
      <xdr:colOff>1668855</xdr:colOff>
      <xdr:row>7</xdr:row>
      <xdr:rowOff>137160</xdr:rowOff>
    </xdr:to>
    <xdr:sp macro="" textlink="">
      <xdr:nvSpPr>
        <xdr:cNvPr id="11" name="Retângulo 10">
          <a:hlinkClick xmlns:r="http://schemas.openxmlformats.org/officeDocument/2006/relationships" r:id="rId7" tooltip="CX"/>
          <a:extLst>
            <a:ext uri="{FF2B5EF4-FFF2-40B4-BE49-F238E27FC236}">
              <a16:creationId xmlns:a16="http://schemas.microsoft.com/office/drawing/2014/main" id="{34104685-5A8D-3678-CAE9-D7FB870103F3}"/>
            </a:ext>
          </a:extLst>
        </xdr:cNvPr>
        <xdr:cNvSpPr/>
      </xdr:nvSpPr>
      <xdr:spPr>
        <a:xfrm>
          <a:off x="5421630" y="952500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CX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333375</xdr:colOff>
      <xdr:row>1</xdr:row>
      <xdr:rowOff>114300</xdr:rowOff>
    </xdr:from>
    <xdr:to>
      <xdr:col>1</xdr:col>
      <xdr:colOff>1638300</xdr:colOff>
      <xdr:row>4</xdr:row>
      <xdr:rowOff>117645</xdr:rowOff>
    </xdr:to>
    <xdr:pic>
      <xdr:nvPicPr>
        <xdr:cNvPr id="2" name="Imagem 9">
          <a:extLst>
            <a:ext uri="{FF2B5EF4-FFF2-40B4-BE49-F238E27FC236}">
              <a16:creationId xmlns:a16="http://schemas.microsoft.com/office/drawing/2014/main" id="{7833DD96-013F-4937-94C0-EC4D72DBF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6700"/>
          <a:ext cx="1685925" cy="460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</xdr:col>
      <xdr:colOff>2235746</xdr:colOff>
      <xdr:row>1</xdr:row>
      <xdr:rowOff>107448</xdr:rowOff>
    </xdr:from>
    <xdr:to>
      <xdr:col>2</xdr:col>
      <xdr:colOff>2130462</xdr:colOff>
      <xdr:row>4</xdr:row>
      <xdr:rowOff>49653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B7E3424-D4FD-4560-B138-02EA212C0B0B}"/>
            </a:ext>
          </a:extLst>
        </xdr:cNvPr>
        <xdr:cNvSpPr/>
      </xdr:nvSpPr>
      <xdr:spPr>
        <a:xfrm>
          <a:off x="2616746" y="259848"/>
          <a:ext cx="2504566" cy="39940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800" b="1" cap="none" spc="0">
              <a:ln w="0"/>
              <a:solidFill>
                <a:schemeClr val="bg1">
                  <a:lumMod val="50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rPr>
            <a:t>Cadastro de Cliente</a:t>
          </a:r>
        </a:p>
      </xdr:txBody>
    </xdr:sp>
    <xdr:clientData/>
  </xdr:twoCellAnchor>
  <xdr:twoCellAnchor>
    <xdr:from>
      <xdr:col>4</xdr:col>
      <xdr:colOff>38101</xdr:colOff>
      <xdr:row>4</xdr:row>
      <xdr:rowOff>76200</xdr:rowOff>
    </xdr:from>
    <xdr:to>
      <xdr:col>5</xdr:col>
      <xdr:colOff>9525</xdr:colOff>
      <xdr:row>6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FC7FE1D-4142-4701-B80E-0054EAB8D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352425</xdr:colOff>
      <xdr:row>6</xdr:row>
      <xdr:rowOff>142875</xdr:rowOff>
    </xdr:from>
    <xdr:to>
      <xdr:col>1</xdr:col>
      <xdr:colOff>924000</xdr:colOff>
      <xdr:row>8</xdr:row>
      <xdr:rowOff>127635</xdr:rowOff>
    </xdr:to>
    <xdr:sp macro="" textlink="">
      <xdr:nvSpPr>
        <xdr:cNvPr id="5" name="Retângulo 4">
          <a:hlinkClick xmlns:r="http://schemas.openxmlformats.org/officeDocument/2006/relationships" r:id="rId3" tooltip="Geral"/>
          <a:extLst>
            <a:ext uri="{FF2B5EF4-FFF2-40B4-BE49-F238E27FC236}">
              <a16:creationId xmlns:a16="http://schemas.microsoft.com/office/drawing/2014/main" id="{893169B6-EDE7-4576-8679-3892AF96BE2F}"/>
            </a:ext>
          </a:extLst>
        </xdr:cNvPr>
        <xdr:cNvSpPr/>
      </xdr:nvSpPr>
      <xdr:spPr>
        <a:xfrm>
          <a:off x="352425" y="1057275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Geral</a:t>
          </a:r>
        </a:p>
      </xdr:txBody>
    </xdr:sp>
    <xdr:clientData/>
  </xdr:twoCellAnchor>
  <xdr:twoCellAnchor>
    <xdr:from>
      <xdr:col>1</xdr:col>
      <xdr:colOff>977228</xdr:colOff>
      <xdr:row>6</xdr:row>
      <xdr:rowOff>142875</xdr:rowOff>
    </xdr:from>
    <xdr:to>
      <xdr:col>1</xdr:col>
      <xdr:colOff>1929803</xdr:colOff>
      <xdr:row>8</xdr:row>
      <xdr:rowOff>127635</xdr:rowOff>
    </xdr:to>
    <xdr:sp macro="" textlink="">
      <xdr:nvSpPr>
        <xdr:cNvPr id="6" name="Retângulo 5">
          <a:hlinkClick xmlns:r="http://schemas.openxmlformats.org/officeDocument/2006/relationships" r:id="rId4" tooltip="Comercial"/>
          <a:extLst>
            <a:ext uri="{FF2B5EF4-FFF2-40B4-BE49-F238E27FC236}">
              <a16:creationId xmlns:a16="http://schemas.microsoft.com/office/drawing/2014/main" id="{EFF4566A-6ACC-43E3-A7CC-288B8FD8DB3E}"/>
            </a:ext>
          </a:extLst>
        </xdr:cNvPr>
        <xdr:cNvSpPr/>
      </xdr:nvSpPr>
      <xdr:spPr>
        <a:xfrm>
          <a:off x="1358228" y="1057275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Comercial</a:t>
          </a:r>
        </a:p>
      </xdr:txBody>
    </xdr:sp>
    <xdr:clientData/>
  </xdr:twoCellAnchor>
  <xdr:twoCellAnchor editAs="absolute">
    <xdr:from>
      <xdr:col>1</xdr:col>
      <xdr:colOff>1983030</xdr:colOff>
      <xdr:row>6</xdr:row>
      <xdr:rowOff>142875</xdr:rowOff>
    </xdr:from>
    <xdr:to>
      <xdr:col>2</xdr:col>
      <xdr:colOff>363855</xdr:colOff>
      <xdr:row>8</xdr:row>
      <xdr:rowOff>127635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4F45A9B-D5A8-4E2F-B70B-FA81290A3B5A}"/>
            </a:ext>
          </a:extLst>
        </xdr:cNvPr>
        <xdr:cNvSpPr/>
      </xdr:nvSpPr>
      <xdr:spPr>
        <a:xfrm>
          <a:off x="2364030" y="1057275"/>
          <a:ext cx="952575" cy="289560"/>
        </a:xfrm>
        <a:prstGeom prst="rect">
          <a:avLst/>
        </a:prstGeom>
        <a:solidFill>
          <a:srgbClr val="C0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t>Financeiro</a:t>
          </a:r>
        </a:p>
      </xdr:txBody>
    </xdr:sp>
    <xdr:clientData/>
  </xdr:twoCellAnchor>
  <xdr:twoCellAnchor>
    <xdr:from>
      <xdr:col>2</xdr:col>
      <xdr:colOff>421005</xdr:colOff>
      <xdr:row>6</xdr:row>
      <xdr:rowOff>142875</xdr:rowOff>
    </xdr:from>
    <xdr:to>
      <xdr:col>2</xdr:col>
      <xdr:colOff>1373580</xdr:colOff>
      <xdr:row>8</xdr:row>
      <xdr:rowOff>127635</xdr:rowOff>
    </xdr:to>
    <xdr:sp macro="" textlink="">
      <xdr:nvSpPr>
        <xdr:cNvPr id="8" name="Retâ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551C852-0AB2-4639-8F95-87462008BF0A}"/>
            </a:ext>
          </a:extLst>
        </xdr:cNvPr>
        <xdr:cNvSpPr/>
      </xdr:nvSpPr>
      <xdr:spPr>
        <a:xfrm>
          <a:off x="3411855" y="1057275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TI</a:t>
          </a:r>
        </a:p>
      </xdr:txBody>
    </xdr:sp>
    <xdr:clientData/>
  </xdr:twoCellAnchor>
  <xdr:twoCellAnchor>
    <xdr:from>
      <xdr:col>2</xdr:col>
      <xdr:colOff>1430655</xdr:colOff>
      <xdr:row>6</xdr:row>
      <xdr:rowOff>142875</xdr:rowOff>
    </xdr:from>
    <xdr:to>
      <xdr:col>2</xdr:col>
      <xdr:colOff>2383230</xdr:colOff>
      <xdr:row>8</xdr:row>
      <xdr:rowOff>127635</xdr:rowOff>
    </xdr:to>
    <xdr:sp macro="" textlink="">
      <xdr:nvSpPr>
        <xdr:cNvPr id="9" name="Retângulo 8">
          <a:hlinkClick xmlns:r="http://schemas.openxmlformats.org/officeDocument/2006/relationships" r:id="rId6" tooltip="Operações"/>
          <a:extLst>
            <a:ext uri="{FF2B5EF4-FFF2-40B4-BE49-F238E27FC236}">
              <a16:creationId xmlns:a16="http://schemas.microsoft.com/office/drawing/2014/main" id="{72596F17-4CCB-4336-8BC9-DDDAC8A70AF5}"/>
            </a:ext>
          </a:extLst>
        </xdr:cNvPr>
        <xdr:cNvSpPr/>
      </xdr:nvSpPr>
      <xdr:spPr>
        <a:xfrm>
          <a:off x="4421505" y="1057275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Operações</a:t>
          </a:r>
        </a:p>
      </xdr:txBody>
    </xdr:sp>
    <xdr:clientData/>
  </xdr:twoCellAnchor>
  <xdr:twoCellAnchor>
    <xdr:from>
      <xdr:col>2</xdr:col>
      <xdr:colOff>2430780</xdr:colOff>
      <xdr:row>6</xdr:row>
      <xdr:rowOff>142875</xdr:rowOff>
    </xdr:from>
    <xdr:to>
      <xdr:col>3</xdr:col>
      <xdr:colOff>868755</xdr:colOff>
      <xdr:row>8</xdr:row>
      <xdr:rowOff>127635</xdr:rowOff>
    </xdr:to>
    <xdr:sp macro="" textlink="">
      <xdr:nvSpPr>
        <xdr:cNvPr id="10" name="Retângulo 9">
          <a:hlinkClick xmlns:r="http://schemas.openxmlformats.org/officeDocument/2006/relationships" r:id="rId7" tooltip="CX"/>
          <a:extLst>
            <a:ext uri="{FF2B5EF4-FFF2-40B4-BE49-F238E27FC236}">
              <a16:creationId xmlns:a16="http://schemas.microsoft.com/office/drawing/2014/main" id="{A4825BFC-6C2A-4F4F-ABC6-24B2017197E3}"/>
            </a:ext>
          </a:extLst>
        </xdr:cNvPr>
        <xdr:cNvSpPr/>
      </xdr:nvSpPr>
      <xdr:spPr>
        <a:xfrm>
          <a:off x="5421630" y="1057275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CX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333375</xdr:colOff>
      <xdr:row>1</xdr:row>
      <xdr:rowOff>114300</xdr:rowOff>
    </xdr:from>
    <xdr:to>
      <xdr:col>1</xdr:col>
      <xdr:colOff>1638300</xdr:colOff>
      <xdr:row>4</xdr:row>
      <xdr:rowOff>117645</xdr:rowOff>
    </xdr:to>
    <xdr:pic>
      <xdr:nvPicPr>
        <xdr:cNvPr id="2" name="Imagem 9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6700"/>
          <a:ext cx="1685925" cy="460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</xdr:col>
      <xdr:colOff>2235746</xdr:colOff>
      <xdr:row>1</xdr:row>
      <xdr:rowOff>107448</xdr:rowOff>
    </xdr:from>
    <xdr:to>
      <xdr:col>2</xdr:col>
      <xdr:colOff>415962</xdr:colOff>
      <xdr:row>4</xdr:row>
      <xdr:rowOff>49653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2616746" y="259848"/>
          <a:ext cx="2545804" cy="39940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800" b="1" cap="none" spc="0">
              <a:ln w="0"/>
              <a:solidFill>
                <a:schemeClr val="bg1">
                  <a:lumMod val="50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rPr>
            <a:t>Cadastro de Cliente</a:t>
          </a:r>
        </a:p>
      </xdr:txBody>
    </xdr:sp>
    <xdr:clientData/>
  </xdr:twoCellAnchor>
  <xdr:twoCellAnchor>
    <xdr:from>
      <xdr:col>8</xdr:col>
      <xdr:colOff>0</xdr:colOff>
      <xdr:row>4</xdr:row>
      <xdr:rowOff>76200</xdr:rowOff>
    </xdr:from>
    <xdr:to>
      <xdr:col>9</xdr:col>
      <xdr:colOff>57146</xdr:colOff>
      <xdr:row>6</xdr:row>
      <xdr:rowOff>104775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B5EEAB2-F61A-43AD-8DBE-760C29EB23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78441</xdr:colOff>
      <xdr:row>6</xdr:row>
      <xdr:rowOff>44824</xdr:rowOff>
    </xdr:from>
    <xdr:to>
      <xdr:col>1</xdr:col>
      <xdr:colOff>1031016</xdr:colOff>
      <xdr:row>8</xdr:row>
      <xdr:rowOff>20620</xdr:rowOff>
    </xdr:to>
    <xdr:sp macro="" textlink="">
      <xdr:nvSpPr>
        <xdr:cNvPr id="5" name="Retângulo 4">
          <a:hlinkClick xmlns:r="http://schemas.openxmlformats.org/officeDocument/2006/relationships" r:id="rId3" tooltip="Geral"/>
          <a:extLst>
            <a:ext uri="{FF2B5EF4-FFF2-40B4-BE49-F238E27FC236}">
              <a16:creationId xmlns:a16="http://schemas.microsoft.com/office/drawing/2014/main" id="{6CCB0845-D415-46D1-9DCD-024490E5BD99}"/>
            </a:ext>
          </a:extLst>
        </xdr:cNvPr>
        <xdr:cNvSpPr/>
      </xdr:nvSpPr>
      <xdr:spPr>
        <a:xfrm>
          <a:off x="459441" y="1019736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Geral</a:t>
          </a:r>
        </a:p>
      </xdr:txBody>
    </xdr:sp>
    <xdr:clientData/>
  </xdr:twoCellAnchor>
  <xdr:twoCellAnchor>
    <xdr:from>
      <xdr:col>1</xdr:col>
      <xdr:colOff>1084244</xdr:colOff>
      <xdr:row>6</xdr:row>
      <xdr:rowOff>44824</xdr:rowOff>
    </xdr:from>
    <xdr:to>
      <xdr:col>1</xdr:col>
      <xdr:colOff>2036819</xdr:colOff>
      <xdr:row>8</xdr:row>
      <xdr:rowOff>20620</xdr:rowOff>
    </xdr:to>
    <xdr:sp macro="" textlink="">
      <xdr:nvSpPr>
        <xdr:cNvPr id="6" name="Retângulo 5">
          <a:hlinkClick xmlns:r="http://schemas.openxmlformats.org/officeDocument/2006/relationships" r:id="rId4" tooltip="Comercial"/>
          <a:extLst>
            <a:ext uri="{FF2B5EF4-FFF2-40B4-BE49-F238E27FC236}">
              <a16:creationId xmlns:a16="http://schemas.microsoft.com/office/drawing/2014/main" id="{874EA202-8009-450E-86AE-9C088BF0F99E}"/>
            </a:ext>
          </a:extLst>
        </xdr:cNvPr>
        <xdr:cNvSpPr/>
      </xdr:nvSpPr>
      <xdr:spPr>
        <a:xfrm>
          <a:off x="1465244" y="1019736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Comercial</a:t>
          </a:r>
        </a:p>
      </xdr:txBody>
    </xdr:sp>
    <xdr:clientData/>
  </xdr:twoCellAnchor>
  <xdr:twoCellAnchor>
    <xdr:from>
      <xdr:col>1</xdr:col>
      <xdr:colOff>2090046</xdr:colOff>
      <xdr:row>6</xdr:row>
      <xdr:rowOff>44824</xdr:rowOff>
    </xdr:from>
    <xdr:to>
      <xdr:col>1</xdr:col>
      <xdr:colOff>3042621</xdr:colOff>
      <xdr:row>8</xdr:row>
      <xdr:rowOff>20620</xdr:rowOff>
    </xdr:to>
    <xdr:sp macro="" textlink="">
      <xdr:nvSpPr>
        <xdr:cNvPr id="7" name="Retângulo 6">
          <a:hlinkClick xmlns:r="http://schemas.openxmlformats.org/officeDocument/2006/relationships" r:id="rId5" tooltip="Financeiro"/>
          <a:extLst>
            <a:ext uri="{FF2B5EF4-FFF2-40B4-BE49-F238E27FC236}">
              <a16:creationId xmlns:a16="http://schemas.microsoft.com/office/drawing/2014/main" id="{8F1029DD-0382-4BDB-81AD-DE5E011CBAF7}"/>
            </a:ext>
          </a:extLst>
        </xdr:cNvPr>
        <xdr:cNvSpPr/>
      </xdr:nvSpPr>
      <xdr:spPr>
        <a:xfrm>
          <a:off x="2471046" y="1019736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Financeiro</a:t>
          </a:r>
        </a:p>
      </xdr:txBody>
    </xdr:sp>
    <xdr:clientData/>
  </xdr:twoCellAnchor>
  <xdr:twoCellAnchor>
    <xdr:from>
      <xdr:col>1</xdr:col>
      <xdr:colOff>3109296</xdr:colOff>
      <xdr:row>6</xdr:row>
      <xdr:rowOff>44824</xdr:rowOff>
    </xdr:from>
    <xdr:to>
      <xdr:col>1</xdr:col>
      <xdr:colOff>4061871</xdr:colOff>
      <xdr:row>8</xdr:row>
      <xdr:rowOff>20620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7C6948F0-1E92-4B37-95CB-4B0FE035EAC6}"/>
            </a:ext>
          </a:extLst>
        </xdr:cNvPr>
        <xdr:cNvSpPr/>
      </xdr:nvSpPr>
      <xdr:spPr>
        <a:xfrm>
          <a:off x="3490296" y="1019736"/>
          <a:ext cx="952575" cy="289560"/>
        </a:xfrm>
        <a:prstGeom prst="rect">
          <a:avLst/>
        </a:prstGeom>
        <a:solidFill>
          <a:srgbClr val="C0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t>TI</a:t>
          </a:r>
        </a:p>
      </xdr:txBody>
    </xdr:sp>
    <xdr:clientData/>
  </xdr:twoCellAnchor>
  <xdr:twoCellAnchor>
    <xdr:from>
      <xdr:col>1</xdr:col>
      <xdr:colOff>4118946</xdr:colOff>
      <xdr:row>6</xdr:row>
      <xdr:rowOff>44824</xdr:rowOff>
    </xdr:from>
    <xdr:to>
      <xdr:col>3</xdr:col>
      <xdr:colOff>140933</xdr:colOff>
      <xdr:row>8</xdr:row>
      <xdr:rowOff>20620</xdr:rowOff>
    </xdr:to>
    <xdr:sp macro="" textlink="">
      <xdr:nvSpPr>
        <xdr:cNvPr id="9" name="Retângulo 8">
          <a:hlinkClick xmlns:r="http://schemas.openxmlformats.org/officeDocument/2006/relationships" r:id="rId6" tooltip="Operações"/>
          <a:extLst>
            <a:ext uri="{FF2B5EF4-FFF2-40B4-BE49-F238E27FC236}">
              <a16:creationId xmlns:a16="http://schemas.microsoft.com/office/drawing/2014/main" id="{BE756F66-CCCF-4D25-A07D-9E9285AF591C}"/>
            </a:ext>
          </a:extLst>
        </xdr:cNvPr>
        <xdr:cNvSpPr/>
      </xdr:nvSpPr>
      <xdr:spPr>
        <a:xfrm>
          <a:off x="4499946" y="1019736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Operações</a:t>
          </a:r>
        </a:p>
      </xdr:txBody>
    </xdr:sp>
    <xdr:clientData/>
  </xdr:twoCellAnchor>
  <xdr:twoCellAnchor>
    <xdr:from>
      <xdr:col>3</xdr:col>
      <xdr:colOff>188483</xdr:colOff>
      <xdr:row>6</xdr:row>
      <xdr:rowOff>44824</xdr:rowOff>
    </xdr:from>
    <xdr:to>
      <xdr:col>4</xdr:col>
      <xdr:colOff>535940</xdr:colOff>
      <xdr:row>8</xdr:row>
      <xdr:rowOff>20620</xdr:rowOff>
    </xdr:to>
    <xdr:sp macro="" textlink="">
      <xdr:nvSpPr>
        <xdr:cNvPr id="10" name="Retângulo 9">
          <a:hlinkClick xmlns:r="http://schemas.openxmlformats.org/officeDocument/2006/relationships" r:id="rId7" tooltip="CX"/>
          <a:extLst>
            <a:ext uri="{FF2B5EF4-FFF2-40B4-BE49-F238E27FC236}">
              <a16:creationId xmlns:a16="http://schemas.microsoft.com/office/drawing/2014/main" id="{E08B00DB-D688-4DE4-AEE6-F4163DCAED1A}"/>
            </a:ext>
          </a:extLst>
        </xdr:cNvPr>
        <xdr:cNvSpPr/>
      </xdr:nvSpPr>
      <xdr:spPr>
        <a:xfrm>
          <a:off x="5500071" y="1019736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CX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325755</xdr:colOff>
      <xdr:row>1</xdr:row>
      <xdr:rowOff>114300</xdr:rowOff>
    </xdr:from>
    <xdr:to>
      <xdr:col>1</xdr:col>
      <xdr:colOff>1634490</xdr:colOff>
      <xdr:row>4</xdr:row>
      <xdr:rowOff>117645</xdr:rowOff>
    </xdr:to>
    <xdr:pic>
      <xdr:nvPicPr>
        <xdr:cNvPr id="2" name="Imagem 9">
          <a:extLst>
            <a:ext uri="{FF2B5EF4-FFF2-40B4-BE49-F238E27FC236}">
              <a16:creationId xmlns:a16="http://schemas.microsoft.com/office/drawing/2014/main" id="{C7DB01C6-A3B7-4121-89C5-ADBA113AD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" y="266700"/>
          <a:ext cx="1689735" cy="460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1181</xdr:colOff>
      <xdr:row>1</xdr:row>
      <xdr:rowOff>94113</xdr:rowOff>
    </xdr:from>
    <xdr:to>
      <xdr:col>4</xdr:col>
      <xdr:colOff>630555</xdr:colOff>
      <xdr:row>4</xdr:row>
      <xdr:rowOff>53463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9633A07-0CB4-4B38-B5ED-4325C4210628}"/>
            </a:ext>
          </a:extLst>
        </xdr:cNvPr>
        <xdr:cNvSpPr/>
      </xdr:nvSpPr>
      <xdr:spPr>
        <a:xfrm>
          <a:off x="2820581" y="246513"/>
          <a:ext cx="2277199" cy="41655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800" b="1" cap="none" spc="0">
              <a:ln w="0"/>
              <a:solidFill>
                <a:schemeClr val="bg1">
                  <a:lumMod val="50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rPr>
            <a:t>Cadastro de Cliente</a:t>
          </a:r>
        </a:p>
      </xdr:txBody>
    </xdr:sp>
    <xdr:clientData/>
  </xdr:twoCellAnchor>
  <xdr:twoCellAnchor>
    <xdr:from>
      <xdr:col>8</xdr:col>
      <xdr:colOff>0</xdr:colOff>
      <xdr:row>4</xdr:row>
      <xdr:rowOff>76200</xdr:rowOff>
    </xdr:from>
    <xdr:to>
      <xdr:col>9</xdr:col>
      <xdr:colOff>57146</xdr:colOff>
      <xdr:row>6</xdr:row>
      <xdr:rowOff>104775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631B7B2-BD54-427C-91E4-6B49541551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285750</xdr:colOff>
      <xdr:row>6</xdr:row>
      <xdr:rowOff>76200</xdr:rowOff>
    </xdr:from>
    <xdr:to>
      <xdr:col>1</xdr:col>
      <xdr:colOff>857325</xdr:colOff>
      <xdr:row>8</xdr:row>
      <xdr:rowOff>60960</xdr:rowOff>
    </xdr:to>
    <xdr:sp macro="" textlink="">
      <xdr:nvSpPr>
        <xdr:cNvPr id="5" name="Retângulo 4">
          <a:hlinkClick xmlns:r="http://schemas.openxmlformats.org/officeDocument/2006/relationships" r:id="rId3" tooltip="Geral"/>
          <a:extLst>
            <a:ext uri="{FF2B5EF4-FFF2-40B4-BE49-F238E27FC236}">
              <a16:creationId xmlns:a16="http://schemas.microsoft.com/office/drawing/2014/main" id="{3BB851E2-23AA-4B5F-B669-8198B2CA1C26}"/>
            </a:ext>
          </a:extLst>
        </xdr:cNvPr>
        <xdr:cNvSpPr/>
      </xdr:nvSpPr>
      <xdr:spPr>
        <a:xfrm>
          <a:off x="285750" y="1028700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Geral</a:t>
          </a:r>
        </a:p>
      </xdr:txBody>
    </xdr:sp>
    <xdr:clientData/>
  </xdr:twoCellAnchor>
  <xdr:twoCellAnchor>
    <xdr:from>
      <xdr:col>1</xdr:col>
      <xdr:colOff>910553</xdr:colOff>
      <xdr:row>6</xdr:row>
      <xdr:rowOff>76200</xdr:rowOff>
    </xdr:from>
    <xdr:to>
      <xdr:col>1</xdr:col>
      <xdr:colOff>1863128</xdr:colOff>
      <xdr:row>8</xdr:row>
      <xdr:rowOff>60960</xdr:rowOff>
    </xdr:to>
    <xdr:sp macro="" textlink="">
      <xdr:nvSpPr>
        <xdr:cNvPr id="6" name="Retângulo 5">
          <a:hlinkClick xmlns:r="http://schemas.openxmlformats.org/officeDocument/2006/relationships" r:id="rId4" tooltip="Comercial"/>
          <a:extLst>
            <a:ext uri="{FF2B5EF4-FFF2-40B4-BE49-F238E27FC236}">
              <a16:creationId xmlns:a16="http://schemas.microsoft.com/office/drawing/2014/main" id="{984F2555-75B0-4F0C-AF4B-2532D492EF10}"/>
            </a:ext>
          </a:extLst>
        </xdr:cNvPr>
        <xdr:cNvSpPr/>
      </xdr:nvSpPr>
      <xdr:spPr>
        <a:xfrm>
          <a:off x="1291553" y="1028700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Comercial</a:t>
          </a:r>
        </a:p>
      </xdr:txBody>
    </xdr:sp>
    <xdr:clientData/>
  </xdr:twoCellAnchor>
  <xdr:twoCellAnchor>
    <xdr:from>
      <xdr:col>1</xdr:col>
      <xdr:colOff>1916355</xdr:colOff>
      <xdr:row>6</xdr:row>
      <xdr:rowOff>76200</xdr:rowOff>
    </xdr:from>
    <xdr:to>
      <xdr:col>2</xdr:col>
      <xdr:colOff>430530</xdr:colOff>
      <xdr:row>8</xdr:row>
      <xdr:rowOff>60960</xdr:rowOff>
    </xdr:to>
    <xdr:sp macro="" textlink="">
      <xdr:nvSpPr>
        <xdr:cNvPr id="7" name="Retângulo 6">
          <a:hlinkClick xmlns:r="http://schemas.openxmlformats.org/officeDocument/2006/relationships" r:id="rId5" tooltip="Financeiro"/>
          <a:extLst>
            <a:ext uri="{FF2B5EF4-FFF2-40B4-BE49-F238E27FC236}">
              <a16:creationId xmlns:a16="http://schemas.microsoft.com/office/drawing/2014/main" id="{3E29E1C3-57A5-46D0-83B2-636169F36997}"/>
            </a:ext>
          </a:extLst>
        </xdr:cNvPr>
        <xdr:cNvSpPr/>
      </xdr:nvSpPr>
      <xdr:spPr>
        <a:xfrm>
          <a:off x="2297355" y="1028700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Financeiro</a:t>
          </a:r>
        </a:p>
      </xdr:txBody>
    </xdr:sp>
    <xdr:clientData/>
  </xdr:twoCellAnchor>
  <xdr:twoCellAnchor>
    <xdr:from>
      <xdr:col>2</xdr:col>
      <xdr:colOff>497205</xdr:colOff>
      <xdr:row>6</xdr:row>
      <xdr:rowOff>76200</xdr:rowOff>
    </xdr:from>
    <xdr:to>
      <xdr:col>3</xdr:col>
      <xdr:colOff>335355</xdr:colOff>
      <xdr:row>8</xdr:row>
      <xdr:rowOff>60960</xdr:rowOff>
    </xdr:to>
    <xdr:sp macro="" textlink="">
      <xdr:nvSpPr>
        <xdr:cNvPr id="8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7D34D2B-4FEA-4E19-8663-7DD94ACB30EC}"/>
            </a:ext>
          </a:extLst>
        </xdr:cNvPr>
        <xdr:cNvSpPr/>
      </xdr:nvSpPr>
      <xdr:spPr>
        <a:xfrm>
          <a:off x="3316605" y="1028700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TI</a:t>
          </a:r>
        </a:p>
      </xdr:txBody>
    </xdr:sp>
    <xdr:clientData/>
  </xdr:twoCellAnchor>
  <xdr:twoCellAnchor>
    <xdr:from>
      <xdr:col>3</xdr:col>
      <xdr:colOff>392430</xdr:colOff>
      <xdr:row>6</xdr:row>
      <xdr:rowOff>76200</xdr:rowOff>
    </xdr:from>
    <xdr:to>
      <xdr:col>4</xdr:col>
      <xdr:colOff>811605</xdr:colOff>
      <xdr:row>8</xdr:row>
      <xdr:rowOff>60960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B825DC5B-6767-4EED-9536-84CB64912884}"/>
            </a:ext>
          </a:extLst>
        </xdr:cNvPr>
        <xdr:cNvSpPr/>
      </xdr:nvSpPr>
      <xdr:spPr>
        <a:xfrm>
          <a:off x="4326255" y="1028700"/>
          <a:ext cx="952575" cy="289560"/>
        </a:xfrm>
        <a:prstGeom prst="rect">
          <a:avLst/>
        </a:prstGeom>
        <a:solidFill>
          <a:srgbClr val="C0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t>Operações</a:t>
          </a:r>
        </a:p>
      </xdr:txBody>
    </xdr:sp>
    <xdr:clientData/>
  </xdr:twoCellAnchor>
  <xdr:twoCellAnchor>
    <xdr:from>
      <xdr:col>4</xdr:col>
      <xdr:colOff>859155</xdr:colOff>
      <xdr:row>6</xdr:row>
      <xdr:rowOff>76200</xdr:rowOff>
    </xdr:from>
    <xdr:to>
      <xdr:col>6</xdr:col>
      <xdr:colOff>278205</xdr:colOff>
      <xdr:row>8</xdr:row>
      <xdr:rowOff>60960</xdr:rowOff>
    </xdr:to>
    <xdr:sp macro="" textlink="">
      <xdr:nvSpPr>
        <xdr:cNvPr id="10" name="Retângulo 9">
          <a:hlinkClick xmlns:r="http://schemas.openxmlformats.org/officeDocument/2006/relationships" r:id="rId7" tooltip="CX"/>
          <a:extLst>
            <a:ext uri="{FF2B5EF4-FFF2-40B4-BE49-F238E27FC236}">
              <a16:creationId xmlns:a16="http://schemas.microsoft.com/office/drawing/2014/main" id="{0B69BCF4-7B7C-4953-9D04-B177BC0E0B00}"/>
            </a:ext>
          </a:extLst>
        </xdr:cNvPr>
        <xdr:cNvSpPr/>
      </xdr:nvSpPr>
      <xdr:spPr>
        <a:xfrm>
          <a:off x="5326380" y="1028700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CX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626021</xdr:colOff>
      <xdr:row>1</xdr:row>
      <xdr:rowOff>97923</xdr:rowOff>
    </xdr:from>
    <xdr:to>
      <xdr:col>4</xdr:col>
      <xdr:colOff>706755</xdr:colOff>
      <xdr:row>4</xdr:row>
      <xdr:rowOff>57273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1292B3D4-6FF0-4715-A4C2-3D923D2C9747}"/>
            </a:ext>
          </a:extLst>
        </xdr:cNvPr>
        <xdr:cNvSpPr/>
      </xdr:nvSpPr>
      <xdr:spPr>
        <a:xfrm>
          <a:off x="2750096" y="250323"/>
          <a:ext cx="2347684" cy="41655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800" b="1" cap="none" spc="0">
              <a:ln w="0"/>
              <a:solidFill>
                <a:schemeClr val="bg1">
                  <a:lumMod val="50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rPr>
            <a:t>Cadastro de Cliente</a:t>
          </a:r>
        </a:p>
      </xdr:txBody>
    </xdr:sp>
    <xdr:clientData/>
  </xdr:twoCellAnchor>
  <xdr:twoCellAnchor>
    <xdr:from>
      <xdr:col>8</xdr:col>
      <xdr:colOff>0</xdr:colOff>
      <xdr:row>4</xdr:row>
      <xdr:rowOff>76200</xdr:rowOff>
    </xdr:from>
    <xdr:to>
      <xdr:col>9</xdr:col>
      <xdr:colOff>57146</xdr:colOff>
      <xdr:row>6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FF86095-F3B3-4836-8D2D-79973D763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1</xdr:row>
      <xdr:rowOff>114300</xdr:rowOff>
    </xdr:from>
    <xdr:to>
      <xdr:col>1</xdr:col>
      <xdr:colOff>1689735</xdr:colOff>
      <xdr:row>4</xdr:row>
      <xdr:rowOff>117645</xdr:rowOff>
    </xdr:to>
    <xdr:pic>
      <xdr:nvPicPr>
        <xdr:cNvPr id="4" name="Imagem 9">
          <a:extLst>
            <a:ext uri="{FF2B5EF4-FFF2-40B4-BE49-F238E27FC236}">
              <a16:creationId xmlns:a16="http://schemas.microsoft.com/office/drawing/2014/main" id="{A29A809F-09AA-4A83-B4C2-B3D004ECB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66700"/>
          <a:ext cx="1689735" cy="460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6</xdr:row>
      <xdr:rowOff>104775</xdr:rowOff>
    </xdr:from>
    <xdr:to>
      <xdr:col>1</xdr:col>
      <xdr:colOff>971625</xdr:colOff>
      <xdr:row>8</xdr:row>
      <xdr:rowOff>89535</xdr:rowOff>
    </xdr:to>
    <xdr:sp macro="" textlink="">
      <xdr:nvSpPr>
        <xdr:cNvPr id="5" name="Retângulo 4">
          <a:hlinkClick xmlns:r="http://schemas.openxmlformats.org/officeDocument/2006/relationships" r:id="rId3" tooltip="Geral"/>
          <a:extLst>
            <a:ext uri="{FF2B5EF4-FFF2-40B4-BE49-F238E27FC236}">
              <a16:creationId xmlns:a16="http://schemas.microsoft.com/office/drawing/2014/main" id="{61277FDE-292C-4FDD-A6E7-9086FE790B08}"/>
            </a:ext>
          </a:extLst>
        </xdr:cNvPr>
        <xdr:cNvSpPr/>
      </xdr:nvSpPr>
      <xdr:spPr>
        <a:xfrm>
          <a:off x="400050" y="1057275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Geral</a:t>
          </a:r>
        </a:p>
      </xdr:txBody>
    </xdr:sp>
    <xdr:clientData/>
  </xdr:twoCellAnchor>
  <xdr:twoCellAnchor>
    <xdr:from>
      <xdr:col>1</xdr:col>
      <xdr:colOff>1024853</xdr:colOff>
      <xdr:row>6</xdr:row>
      <xdr:rowOff>104775</xdr:rowOff>
    </xdr:from>
    <xdr:to>
      <xdr:col>2</xdr:col>
      <xdr:colOff>234353</xdr:colOff>
      <xdr:row>8</xdr:row>
      <xdr:rowOff>89535</xdr:rowOff>
    </xdr:to>
    <xdr:sp macro="" textlink="">
      <xdr:nvSpPr>
        <xdr:cNvPr id="6" name="Retângulo 5">
          <a:hlinkClick xmlns:r="http://schemas.openxmlformats.org/officeDocument/2006/relationships" r:id="rId4" tooltip="Comercial"/>
          <a:extLst>
            <a:ext uri="{FF2B5EF4-FFF2-40B4-BE49-F238E27FC236}">
              <a16:creationId xmlns:a16="http://schemas.microsoft.com/office/drawing/2014/main" id="{A03FF79C-BA1C-439F-AAE9-68DAAC0BBE53}"/>
            </a:ext>
          </a:extLst>
        </xdr:cNvPr>
        <xdr:cNvSpPr/>
      </xdr:nvSpPr>
      <xdr:spPr>
        <a:xfrm>
          <a:off x="1405853" y="1057275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Comercial</a:t>
          </a:r>
        </a:p>
      </xdr:txBody>
    </xdr:sp>
    <xdr:clientData/>
  </xdr:twoCellAnchor>
  <xdr:twoCellAnchor>
    <xdr:from>
      <xdr:col>2</xdr:col>
      <xdr:colOff>287580</xdr:colOff>
      <xdr:row>6</xdr:row>
      <xdr:rowOff>104775</xdr:rowOff>
    </xdr:from>
    <xdr:to>
      <xdr:col>3</xdr:col>
      <xdr:colOff>154305</xdr:colOff>
      <xdr:row>8</xdr:row>
      <xdr:rowOff>89535</xdr:rowOff>
    </xdr:to>
    <xdr:sp macro="" textlink="">
      <xdr:nvSpPr>
        <xdr:cNvPr id="7" name="Retângulo 6">
          <a:hlinkClick xmlns:r="http://schemas.openxmlformats.org/officeDocument/2006/relationships" r:id="rId5" tooltip="Financeiro"/>
          <a:extLst>
            <a:ext uri="{FF2B5EF4-FFF2-40B4-BE49-F238E27FC236}">
              <a16:creationId xmlns:a16="http://schemas.microsoft.com/office/drawing/2014/main" id="{22F1B50A-CD34-4BDB-B698-9F9844403999}"/>
            </a:ext>
          </a:extLst>
        </xdr:cNvPr>
        <xdr:cNvSpPr/>
      </xdr:nvSpPr>
      <xdr:spPr>
        <a:xfrm>
          <a:off x="2411655" y="1057275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Financeiro</a:t>
          </a:r>
        </a:p>
      </xdr:txBody>
    </xdr:sp>
    <xdr:clientData/>
  </xdr:twoCellAnchor>
  <xdr:twoCellAnchor>
    <xdr:from>
      <xdr:col>3</xdr:col>
      <xdr:colOff>220980</xdr:colOff>
      <xdr:row>6</xdr:row>
      <xdr:rowOff>104775</xdr:rowOff>
    </xdr:from>
    <xdr:to>
      <xdr:col>3</xdr:col>
      <xdr:colOff>1173555</xdr:colOff>
      <xdr:row>8</xdr:row>
      <xdr:rowOff>89535</xdr:rowOff>
    </xdr:to>
    <xdr:sp macro="" textlink="">
      <xdr:nvSpPr>
        <xdr:cNvPr id="8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CAC7B34-9FED-449B-8F3D-7720B846EE92}"/>
            </a:ext>
          </a:extLst>
        </xdr:cNvPr>
        <xdr:cNvSpPr/>
      </xdr:nvSpPr>
      <xdr:spPr>
        <a:xfrm>
          <a:off x="3430905" y="1057275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TI</a:t>
          </a:r>
        </a:p>
      </xdr:txBody>
    </xdr:sp>
    <xdr:clientData/>
  </xdr:twoCellAnchor>
  <xdr:twoCellAnchor>
    <xdr:from>
      <xdr:col>4</xdr:col>
      <xdr:colOff>49530</xdr:colOff>
      <xdr:row>6</xdr:row>
      <xdr:rowOff>104775</xdr:rowOff>
    </xdr:from>
    <xdr:to>
      <xdr:col>4</xdr:col>
      <xdr:colOff>1002105</xdr:colOff>
      <xdr:row>8</xdr:row>
      <xdr:rowOff>89535</xdr:rowOff>
    </xdr:to>
    <xdr:sp macro="" textlink="">
      <xdr:nvSpPr>
        <xdr:cNvPr id="9" name="Retângulo 8">
          <a:hlinkClick xmlns:r="http://schemas.openxmlformats.org/officeDocument/2006/relationships" r:id="rId7" tooltip="Operações"/>
          <a:extLst>
            <a:ext uri="{FF2B5EF4-FFF2-40B4-BE49-F238E27FC236}">
              <a16:creationId xmlns:a16="http://schemas.microsoft.com/office/drawing/2014/main" id="{3DA18795-512D-4A4C-9045-7974BF419E69}"/>
            </a:ext>
          </a:extLst>
        </xdr:cNvPr>
        <xdr:cNvSpPr/>
      </xdr:nvSpPr>
      <xdr:spPr>
        <a:xfrm>
          <a:off x="4440555" y="1057275"/>
          <a:ext cx="952575" cy="2895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Operações</a:t>
          </a:r>
        </a:p>
      </xdr:txBody>
    </xdr:sp>
    <xdr:clientData/>
  </xdr:twoCellAnchor>
  <xdr:twoCellAnchor>
    <xdr:from>
      <xdr:col>4</xdr:col>
      <xdr:colOff>1049655</xdr:colOff>
      <xdr:row>6</xdr:row>
      <xdr:rowOff>104775</xdr:rowOff>
    </xdr:from>
    <xdr:to>
      <xdr:col>4</xdr:col>
      <xdr:colOff>2002230</xdr:colOff>
      <xdr:row>8</xdr:row>
      <xdr:rowOff>89535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89349964-B7B2-407D-BBB5-11F03F07F1A2}"/>
            </a:ext>
          </a:extLst>
        </xdr:cNvPr>
        <xdr:cNvSpPr/>
      </xdr:nvSpPr>
      <xdr:spPr>
        <a:xfrm>
          <a:off x="5440680" y="1057275"/>
          <a:ext cx="952575" cy="289560"/>
        </a:xfrm>
        <a:prstGeom prst="rect">
          <a:avLst/>
        </a:prstGeom>
        <a:solidFill>
          <a:srgbClr val="C0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t>CX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eandro2020pessoal@gmail.com" TargetMode="External"/><Relationship Id="rId2" Type="http://schemas.openxmlformats.org/officeDocument/2006/relationships/hyperlink" Target="mailto:financeiro@servlogpb.com.br" TargetMode="External"/><Relationship Id="rId1" Type="http://schemas.openxmlformats.org/officeDocument/2006/relationships/hyperlink" Target="mailto:leandro2020pessoal@gmail.com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EA6D-F252-44FD-B6BD-71B734FE9B23}">
  <dimension ref="B1:P27"/>
  <sheetViews>
    <sheetView showGridLines="0" showRowColHeaders="0" tabSelected="1" workbookViewId="0">
      <selection activeCell="C12" sqref="C12:I12"/>
    </sheetView>
  </sheetViews>
  <sheetFormatPr defaultColWidth="0" defaultRowHeight="12" zeroHeight="1" x14ac:dyDescent="0.2"/>
  <cols>
    <col min="1" max="1" width="5.7109375" customWidth="1"/>
    <col min="2" max="2" width="28.28515625" bestFit="1" customWidth="1"/>
    <col min="3" max="6" width="9.140625" customWidth="1"/>
    <col min="7" max="7" width="21.42578125" customWidth="1"/>
    <col min="8" max="8" width="15.140625" customWidth="1"/>
    <col min="9" max="9" width="20.7109375" customWidth="1"/>
    <col min="10" max="10" width="7.85546875" customWidth="1"/>
    <col min="11" max="16" width="9.140625" hidden="1" customWidth="1"/>
    <col min="17" max="23" width="0" hidden="1" customWidth="1"/>
  </cols>
  <sheetData>
    <row r="1" spans="2:9" x14ac:dyDescent="0.2"/>
    <row r="2" spans="2:9" x14ac:dyDescent="0.2"/>
    <row r="3" spans="2:9" x14ac:dyDescent="0.2"/>
    <row r="4" spans="2:9" x14ac:dyDescent="0.2"/>
    <row r="5" spans="2:9" x14ac:dyDescent="0.2"/>
    <row r="6" spans="2:9" ht="15" customHeight="1" x14ac:dyDescent="0.2">
      <c r="H6" s="5" t="s">
        <v>0</v>
      </c>
    </row>
    <row r="7" spans="2:9" x14ac:dyDescent="0.2"/>
    <row r="8" spans="2:9" x14ac:dyDescent="0.2"/>
    <row r="9" spans="2:9" x14ac:dyDescent="0.2"/>
    <row r="10" spans="2:9" x14ac:dyDescent="0.2"/>
    <row r="11" spans="2:9" x14ac:dyDescent="0.2"/>
    <row r="12" spans="2:9" ht="14.1" customHeight="1" x14ac:dyDescent="0.2">
      <c r="B12" s="30" t="s">
        <v>1</v>
      </c>
      <c r="C12" s="80" t="s">
        <v>441</v>
      </c>
      <c r="D12" s="80"/>
      <c r="E12" s="80"/>
      <c r="F12" s="80"/>
      <c r="G12" s="80"/>
      <c r="H12" s="80"/>
      <c r="I12" s="80"/>
    </row>
    <row r="13" spans="2:9" ht="14.1" customHeight="1" x14ac:dyDescent="0.2">
      <c r="B13" s="30" t="s">
        <v>2</v>
      </c>
      <c r="C13" s="83" t="s">
        <v>461</v>
      </c>
      <c r="D13" s="84"/>
      <c r="E13" s="84"/>
      <c r="F13" s="84"/>
      <c r="G13" s="84"/>
      <c r="H13" s="84"/>
      <c r="I13" s="85"/>
    </row>
    <row r="14" spans="2:9" ht="14.1" customHeight="1" x14ac:dyDescent="0.2">
      <c r="B14" s="30" t="s">
        <v>3</v>
      </c>
      <c r="C14" s="86" t="s">
        <v>463</v>
      </c>
      <c r="D14" s="80"/>
      <c r="E14" s="80"/>
      <c r="F14" s="87" t="s">
        <v>4</v>
      </c>
      <c r="G14" s="87"/>
      <c r="H14" s="81">
        <v>164196005</v>
      </c>
      <c r="I14" s="80"/>
    </row>
    <row r="15" spans="2:9" ht="14.1" customHeight="1" x14ac:dyDescent="0.2">
      <c r="B15" s="30" t="s">
        <v>5</v>
      </c>
      <c r="C15" s="82" t="s">
        <v>235</v>
      </c>
      <c r="D15" s="82"/>
      <c r="E15" s="82"/>
      <c r="F15" s="82"/>
      <c r="G15" s="30" t="s">
        <v>6</v>
      </c>
      <c r="H15" s="81">
        <v>58082000</v>
      </c>
      <c r="I15" s="80"/>
    </row>
    <row r="16" spans="2:9" ht="14.1" customHeight="1" x14ac:dyDescent="0.2">
      <c r="B16" s="30" t="s">
        <v>7</v>
      </c>
      <c r="C16" s="80" t="s">
        <v>462</v>
      </c>
      <c r="D16" s="80"/>
      <c r="E16" s="80"/>
      <c r="F16" s="80"/>
      <c r="G16" s="80"/>
      <c r="H16" s="80"/>
      <c r="I16" s="80"/>
    </row>
    <row r="17" spans="2:9" ht="14.1" customHeight="1" x14ac:dyDescent="0.2">
      <c r="B17" s="30" t="s">
        <v>8</v>
      </c>
      <c r="C17" s="80" t="s">
        <v>443</v>
      </c>
      <c r="D17" s="80"/>
      <c r="E17" s="80"/>
      <c r="F17" s="80"/>
      <c r="G17" s="80"/>
      <c r="H17" s="80"/>
      <c r="I17" s="80"/>
    </row>
    <row r="18" spans="2:9" ht="14.1" customHeight="1" x14ac:dyDescent="0.2">
      <c r="B18" s="30" t="s">
        <v>9</v>
      </c>
      <c r="C18" s="80" t="s">
        <v>444</v>
      </c>
      <c r="D18" s="80"/>
      <c r="E18" s="80"/>
      <c r="F18" s="80"/>
      <c r="G18" s="80"/>
      <c r="H18" s="80"/>
      <c r="I18" s="80"/>
    </row>
    <row r="19" spans="2:9" ht="14.1" customHeight="1" x14ac:dyDescent="0.2">
      <c r="B19" s="30" t="s">
        <v>10</v>
      </c>
      <c r="C19" s="80" t="s">
        <v>188</v>
      </c>
      <c r="D19" s="80"/>
      <c r="E19" s="80"/>
      <c r="F19" s="80"/>
      <c r="G19" s="80"/>
      <c r="H19" s="80"/>
      <c r="I19" s="80"/>
    </row>
    <row r="20" spans="2:9" ht="14.1" customHeight="1" x14ac:dyDescent="0.2">
      <c r="B20" s="31" t="s">
        <v>11</v>
      </c>
      <c r="C20" s="90" t="s">
        <v>285</v>
      </c>
      <c r="D20" s="90"/>
      <c r="E20" s="90"/>
      <c r="F20" s="89" t="s">
        <v>12</v>
      </c>
      <c r="G20" s="89"/>
      <c r="H20" s="81" t="s">
        <v>272</v>
      </c>
      <c r="I20" s="80"/>
    </row>
    <row r="21" spans="2:9" x14ac:dyDescent="0.2">
      <c r="B21" s="30" t="s">
        <v>13</v>
      </c>
      <c r="C21" s="80" t="s">
        <v>439</v>
      </c>
      <c r="D21" s="80"/>
      <c r="E21" s="80"/>
      <c r="F21" s="80"/>
      <c r="G21" s="80"/>
      <c r="H21" s="80"/>
      <c r="I21" s="80"/>
    </row>
    <row r="22" spans="2:9" x14ac:dyDescent="0.2">
      <c r="B22" s="30" t="s">
        <v>14</v>
      </c>
      <c r="C22" s="80">
        <v>83999560080</v>
      </c>
      <c r="D22" s="80"/>
      <c r="E22" s="80"/>
      <c r="F22" s="87" t="s">
        <v>15</v>
      </c>
      <c r="G22" s="87"/>
      <c r="H22" s="88" t="s">
        <v>438</v>
      </c>
      <c r="I22" s="80"/>
    </row>
    <row r="23" spans="2:9" x14ac:dyDescent="0.2">
      <c r="B23" s="30" t="s">
        <v>16</v>
      </c>
      <c r="C23" s="80" t="s">
        <v>252</v>
      </c>
      <c r="D23" s="80"/>
      <c r="E23" s="80"/>
      <c r="F23" s="80"/>
      <c r="G23" s="80"/>
      <c r="H23" s="80"/>
      <c r="I23" s="80"/>
    </row>
    <row r="24" spans="2:9" x14ac:dyDescent="0.2">
      <c r="B24" s="33" t="s">
        <v>26</v>
      </c>
      <c r="C24" s="80" t="s">
        <v>165</v>
      </c>
      <c r="D24" s="80"/>
      <c r="E24" s="80"/>
      <c r="F24" s="80"/>
      <c r="G24" s="80"/>
      <c r="H24" s="80"/>
      <c r="I24" s="80"/>
    </row>
    <row r="25" spans="2:9" x14ac:dyDescent="0.2">
      <c r="B25" s="30" t="s">
        <v>27</v>
      </c>
      <c r="C25" s="91" t="s">
        <v>445</v>
      </c>
      <c r="D25" s="92"/>
      <c r="E25" s="92"/>
      <c r="F25" s="92"/>
      <c r="G25" s="92"/>
      <c r="H25" s="92"/>
      <c r="I25" s="93"/>
    </row>
    <row r="26" spans="2:9" x14ac:dyDescent="0.2">
      <c r="B26" s="33" t="s">
        <v>28</v>
      </c>
      <c r="C26" s="83" t="s">
        <v>283</v>
      </c>
      <c r="D26" s="84"/>
      <c r="E26" s="85"/>
      <c r="F26" s="34" t="s">
        <v>29</v>
      </c>
      <c r="G26" s="34"/>
      <c r="H26" s="86"/>
      <c r="I26" s="80"/>
    </row>
    <row r="27" spans="2:9" x14ac:dyDescent="0.2"/>
  </sheetData>
  <sheetProtection sheet="1" selectLockedCells="1"/>
  <mergeCells count="23">
    <mergeCell ref="C24:I24"/>
    <mergeCell ref="C25:I25"/>
    <mergeCell ref="C26:E26"/>
    <mergeCell ref="H26:I26"/>
    <mergeCell ref="C23:I23"/>
    <mergeCell ref="C21:I21"/>
    <mergeCell ref="F22:G22"/>
    <mergeCell ref="H22:I22"/>
    <mergeCell ref="C22:E22"/>
    <mergeCell ref="H20:I20"/>
    <mergeCell ref="F20:G20"/>
    <mergeCell ref="C20:E20"/>
    <mergeCell ref="C12:I12"/>
    <mergeCell ref="C13:I13"/>
    <mergeCell ref="C16:I16"/>
    <mergeCell ref="C14:E14"/>
    <mergeCell ref="F14:G14"/>
    <mergeCell ref="H14:I14"/>
    <mergeCell ref="C17:I17"/>
    <mergeCell ref="C18:I18"/>
    <mergeCell ref="C19:I19"/>
    <mergeCell ref="H15:I15"/>
    <mergeCell ref="C15:F15"/>
  </mergeCells>
  <conditionalFormatting sqref="C20">
    <cfRule type="containsBlanks" dxfId="57" priority="6">
      <formula>LEN(TRIM(C20))=0</formula>
    </cfRule>
  </conditionalFormatting>
  <conditionalFormatting sqref="C15:F15">
    <cfRule type="containsBlanks" dxfId="56" priority="5">
      <formula>LEN(TRIM(C15))=0</formula>
    </cfRule>
  </conditionalFormatting>
  <conditionalFormatting sqref="C12:I13 C14:E14 H14:I15 C16:I19 C21:I21 C22:E22 H22:I22">
    <cfRule type="containsBlanks" dxfId="55" priority="8">
      <formula>LEN(TRIM(C12))=0</formula>
    </cfRule>
  </conditionalFormatting>
  <conditionalFormatting sqref="C23:I25 C26:E26 H26:I26">
    <cfRule type="containsBlanks" dxfId="54" priority="1">
      <formula>LEN(TRIM(C23))=0</formula>
    </cfRule>
  </conditionalFormatting>
  <conditionalFormatting sqref="C24:I25 C26:E26">
    <cfRule type="containsBlanks" priority="2">
      <formula>LEN(TRIM(C24))=0</formula>
    </cfRule>
  </conditionalFormatting>
  <conditionalFormatting sqref="H20:I20">
    <cfRule type="containsBlanks" dxfId="53" priority="3">
      <formula>LEN(TRIM(H20))=0</formula>
    </cfRule>
  </conditionalFormatting>
  <dataValidations count="1">
    <dataValidation allowBlank="1" showInputMessage="1" showErrorMessage="1" promptTitle="Descrição:" prompt="Responsável J&amp;T pela conta." sqref="B21" xr:uid="{3EAAADF8-E8A2-4181-9388-F98890D85BE4}"/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AE4E2228-6E75-4C38-8A04-55B581D99BB2}">
          <x14:formula1>
            <xm:f>Apoio!$F$4:$F$30</xm:f>
          </x14:formula1>
          <xm:sqref>C19:I19</xm:sqref>
        </x14:dataValidation>
        <x14:dataValidation type="list" allowBlank="1" showInputMessage="1" showErrorMessage="1" xr:uid="{57161942-3D5B-462B-9820-76F2AAAB208C}">
          <x14:formula1>
            <xm:f>Apoio!$Q$30:$Q$44</xm:f>
          </x14:formula1>
          <xm:sqref>C23:I23</xm:sqref>
        </x14:dataValidation>
        <x14:dataValidation type="list" allowBlank="1" showInputMessage="1" showErrorMessage="1" xr:uid="{A6FD9850-0CF9-47DA-9630-B2228B2584A9}">
          <x14:formula1>
            <xm:f>Apoio!$J$55:$J$58</xm:f>
          </x14:formula1>
          <xm:sqref>C20</xm:sqref>
        </x14:dataValidation>
        <x14:dataValidation type="list" allowBlank="1" showInputMessage="1" showErrorMessage="1" xr:uid="{1740F070-E6A5-41AA-8E23-13793049C2C7}">
          <x14:formula1>
            <xm:f>Apoio!$B$4:$B$33</xm:f>
          </x14:formula1>
          <xm:sqref>C15:F15</xm:sqref>
        </x14:dataValidation>
        <x14:dataValidation type="list" allowBlank="1" showInputMessage="1" showErrorMessage="1" xr:uid="{98E3B8BB-8EFB-46CC-86C4-245375F08EE6}">
          <x14:formula1>
            <xm:f>Apoio!$H$52:$H$55</xm:f>
          </x14:formula1>
          <xm:sqref>H20:I20</xm:sqref>
        </x14:dataValidation>
        <x14:dataValidation type="list" allowBlank="1" showInputMessage="1" showErrorMessage="1" xr:uid="{5DDE8A45-1E86-4A2E-8997-FB0292E31E06}">
          <x14:formula1>
            <xm:f>Apoio!$H$57:$H$58</xm:f>
          </x14:formula1>
          <xm:sqref>C26:E26</xm:sqref>
        </x14:dataValidation>
        <x14:dataValidation type="list" allowBlank="1" showInputMessage="1" showErrorMessage="1" xr:uid="{1BFAD8CF-A4F8-47EE-8CEB-1D16AEBBAC4C}">
          <x14:formula1>
            <xm:f>Apoio!$J$11:$J$13</xm:f>
          </x14:formula1>
          <xm:sqref>C24:I24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7AC5A-B5C2-41EE-BF01-9BFD7F1087AC}">
  <dimension ref="A1:P43"/>
  <sheetViews>
    <sheetView showGridLines="0" showRowColHeaders="0" workbookViewId="0">
      <selection activeCell="C13" sqref="C13:E13"/>
    </sheetView>
  </sheetViews>
  <sheetFormatPr defaultColWidth="0" defaultRowHeight="12" zeroHeight="1" x14ac:dyDescent="0.2"/>
  <cols>
    <col min="1" max="1" width="5.7109375" customWidth="1"/>
    <col min="2" max="2" width="36.42578125" bestFit="1" customWidth="1"/>
    <col min="3" max="4" width="9.140625" customWidth="1"/>
    <col min="5" max="5" width="10.140625" customWidth="1"/>
    <col min="6" max="6" width="33" customWidth="1"/>
    <col min="7" max="7" width="15.140625" customWidth="1"/>
    <col min="8" max="8" width="20" customWidth="1"/>
    <col min="9" max="9" width="5.7109375" customWidth="1"/>
    <col min="10" max="15" width="9.140625" hidden="1" customWidth="1"/>
    <col min="16" max="16" width="0" hidden="1" customWidth="1"/>
    <col min="17" max="22" width="9.140625" hidden="1" customWidth="1"/>
    <col min="23" max="16384" width="9.140625" hidden="1"/>
  </cols>
  <sheetData>
    <row r="1" spans="2:8" x14ac:dyDescent="0.2"/>
    <row r="2" spans="2:8" x14ac:dyDescent="0.2"/>
    <row r="3" spans="2:8" x14ac:dyDescent="0.2"/>
    <row r="4" spans="2:8" x14ac:dyDescent="0.2"/>
    <row r="5" spans="2:8" x14ac:dyDescent="0.2"/>
    <row r="6" spans="2:8" ht="15" customHeight="1" x14ac:dyDescent="0.2">
      <c r="G6" s="5" t="s">
        <v>0</v>
      </c>
    </row>
    <row r="7" spans="2:8" x14ac:dyDescent="0.2"/>
    <row r="8" spans="2:8" x14ac:dyDescent="0.2"/>
    <row r="9" spans="2:8" x14ac:dyDescent="0.2"/>
    <row r="10" spans="2:8" x14ac:dyDescent="0.2"/>
    <row r="11" spans="2:8" x14ac:dyDescent="0.2"/>
    <row r="12" spans="2:8" ht="14.1" customHeight="1" x14ac:dyDescent="0.2">
      <c r="B12" s="30" t="s">
        <v>17</v>
      </c>
      <c r="C12" s="80" t="s">
        <v>446</v>
      </c>
      <c r="D12" s="80"/>
      <c r="E12" s="80"/>
      <c r="F12" s="80"/>
      <c r="G12" s="80"/>
      <c r="H12" s="80"/>
    </row>
    <row r="13" spans="2:8" ht="14.1" customHeight="1" x14ac:dyDescent="0.2">
      <c r="B13" s="30" t="s">
        <v>18</v>
      </c>
      <c r="C13" s="94" t="s">
        <v>447</v>
      </c>
      <c r="D13" s="80"/>
      <c r="E13" s="80"/>
      <c r="F13" s="30" t="s">
        <v>19</v>
      </c>
      <c r="G13" s="80">
        <v>83999482038</v>
      </c>
      <c r="H13" s="80"/>
    </row>
    <row r="14" spans="2:8" ht="14.1" customHeight="1" x14ac:dyDescent="0.2">
      <c r="B14" s="32" t="s">
        <v>20</v>
      </c>
      <c r="C14" s="80">
        <v>80</v>
      </c>
      <c r="D14" s="80"/>
      <c r="E14" s="80"/>
      <c r="F14" s="30" t="s">
        <v>21</v>
      </c>
      <c r="G14" s="81">
        <v>30</v>
      </c>
      <c r="H14" s="81"/>
    </row>
    <row r="15" spans="2:8" ht="14.1" customHeight="1" x14ac:dyDescent="0.2">
      <c r="B15" s="30" t="s">
        <v>22</v>
      </c>
      <c r="C15" s="102">
        <f>G14*22</f>
        <v>660</v>
      </c>
      <c r="D15" s="102"/>
      <c r="E15" s="102"/>
      <c r="F15" s="33" t="s">
        <v>23</v>
      </c>
      <c r="G15" s="101">
        <v>18.3</v>
      </c>
      <c r="H15" s="101"/>
    </row>
    <row r="16" spans="2:8" ht="14.1" customHeight="1" x14ac:dyDescent="0.2">
      <c r="B16" s="32" t="s">
        <v>24</v>
      </c>
      <c r="C16" s="95">
        <v>2</v>
      </c>
      <c r="D16" s="96"/>
      <c r="E16" s="96"/>
      <c r="F16" s="96"/>
      <c r="G16" s="96"/>
      <c r="H16" s="97"/>
    </row>
    <row r="17" spans="2:9" ht="14.1" customHeight="1" x14ac:dyDescent="0.2">
      <c r="B17" s="32" t="s">
        <v>312</v>
      </c>
      <c r="C17" s="95" t="s">
        <v>306</v>
      </c>
      <c r="D17" s="96"/>
      <c r="E17" s="96"/>
      <c r="F17" s="33" t="s">
        <v>313</v>
      </c>
      <c r="G17" s="84" t="s">
        <v>306</v>
      </c>
      <c r="H17" s="85"/>
    </row>
    <row r="18" spans="2:9" x14ac:dyDescent="0.2">
      <c r="B18" s="30" t="s">
        <v>420</v>
      </c>
      <c r="C18" s="98" t="s">
        <v>257</v>
      </c>
      <c r="D18" s="99"/>
      <c r="E18" s="99"/>
      <c r="F18" s="99"/>
      <c r="G18" s="99"/>
      <c r="H18" s="100"/>
    </row>
    <row r="19" spans="2:9" x14ac:dyDescent="0.2">
      <c r="B19" s="71" t="s">
        <v>25</v>
      </c>
      <c r="C19" s="76" t="b">
        <v>0</v>
      </c>
      <c r="D19" s="77" t="b">
        <v>1</v>
      </c>
      <c r="E19" s="77" t="b">
        <v>1</v>
      </c>
      <c r="F19" s="77" t="b">
        <v>1</v>
      </c>
      <c r="G19" s="77" t="b">
        <v>0</v>
      </c>
      <c r="H19" s="78" t="b">
        <v>0</v>
      </c>
      <c r="I19" s="79">
        <f>COUNTIFS(C19:H19,TRUE)</f>
        <v>3</v>
      </c>
    </row>
    <row r="20" spans="2:9" x14ac:dyDescent="0.2">
      <c r="B20" s="72"/>
      <c r="C20" s="73" t="s">
        <v>422</v>
      </c>
      <c r="D20" s="74" t="s">
        <v>423</v>
      </c>
      <c r="E20" s="74" t="s">
        <v>425</v>
      </c>
      <c r="F20" s="74" t="s">
        <v>424</v>
      </c>
      <c r="G20" s="74" t="s">
        <v>262</v>
      </c>
      <c r="H20" s="75" t="s">
        <v>294</v>
      </c>
    </row>
    <row r="21" spans="2:9" x14ac:dyDescent="0.2">
      <c r="B21" s="30" t="s">
        <v>307</v>
      </c>
      <c r="C21" s="91"/>
      <c r="D21" s="84"/>
      <c r="E21" s="84"/>
      <c r="F21" s="84"/>
      <c r="G21" s="84"/>
      <c r="H21" s="85"/>
    </row>
    <row r="22" spans="2:9" x14ac:dyDescent="0.2">
      <c r="B22" s="30" t="s">
        <v>377</v>
      </c>
      <c r="C22" s="83" t="s">
        <v>448</v>
      </c>
      <c r="D22" s="84"/>
      <c r="E22" s="84"/>
      <c r="F22" s="30" t="s">
        <v>378</v>
      </c>
      <c r="G22" s="91" t="s">
        <v>450</v>
      </c>
      <c r="H22" s="85"/>
    </row>
    <row r="23" spans="2:9" x14ac:dyDescent="0.2">
      <c r="B23" s="30" t="s">
        <v>308</v>
      </c>
      <c r="C23" s="83" t="s">
        <v>449</v>
      </c>
      <c r="D23" s="84"/>
      <c r="E23" s="84"/>
      <c r="F23" s="30" t="s">
        <v>309</v>
      </c>
      <c r="G23" s="94" t="s">
        <v>447</v>
      </c>
      <c r="H23" s="80"/>
    </row>
    <row r="24" spans="2:9" x14ac:dyDescent="0.2"/>
    <row r="25" spans="2:9" x14ac:dyDescent="0.2"/>
    <row r="33" customFormat="1" hidden="1" x14ac:dyDescent="0.2"/>
    <row r="34" customFormat="1" hidden="1" x14ac:dyDescent="0.2"/>
    <row r="35" customFormat="1" hidden="1" x14ac:dyDescent="0.2"/>
    <row r="36" customFormat="1" hidden="1" x14ac:dyDescent="0.2"/>
    <row r="37" customFormat="1" hidden="1" x14ac:dyDescent="0.2"/>
    <row r="38" customFormat="1" hidden="1" x14ac:dyDescent="0.2"/>
    <row r="39" customFormat="1" hidden="1" x14ac:dyDescent="0.2"/>
    <row r="40" customFormat="1" hidden="1" x14ac:dyDescent="0.2"/>
    <row r="41" customFormat="1" hidden="1" x14ac:dyDescent="0.2"/>
    <row r="42" customFormat="1" hidden="1" x14ac:dyDescent="0.2"/>
    <row r="43" customFormat="1" hidden="1" x14ac:dyDescent="0.2"/>
  </sheetData>
  <sheetProtection selectLockedCells="1"/>
  <mergeCells count="16">
    <mergeCell ref="G15:H15"/>
    <mergeCell ref="C12:H12"/>
    <mergeCell ref="G13:H13"/>
    <mergeCell ref="C13:E13"/>
    <mergeCell ref="G14:H14"/>
    <mergeCell ref="C14:E14"/>
    <mergeCell ref="C15:E15"/>
    <mergeCell ref="C23:E23"/>
    <mergeCell ref="G23:H23"/>
    <mergeCell ref="C21:H21"/>
    <mergeCell ref="C16:H16"/>
    <mergeCell ref="C17:E17"/>
    <mergeCell ref="G17:H17"/>
    <mergeCell ref="C18:H18"/>
    <mergeCell ref="C22:E22"/>
    <mergeCell ref="G22:H22"/>
  </mergeCells>
  <conditionalFormatting sqref="C16:C18">
    <cfRule type="containsBlanks" dxfId="52" priority="3">
      <formula>LEN(TRIM(C16))=0</formula>
    </cfRule>
  </conditionalFormatting>
  <conditionalFormatting sqref="C22:E23">
    <cfRule type="containsBlanks" dxfId="51" priority="2">
      <formula>LEN(TRIM(C22))=0</formula>
    </cfRule>
  </conditionalFormatting>
  <conditionalFormatting sqref="C12:H12 C13:E15 G13:H15 G17">
    <cfRule type="containsBlanks" dxfId="50" priority="7">
      <formula>LEN(TRIM(C12))=0</formula>
    </cfRule>
  </conditionalFormatting>
  <conditionalFormatting sqref="C19:H20">
    <cfRule type="expression" dxfId="49" priority="1">
      <formula>OR(C$19="",C$19=FALSE)</formula>
    </cfRule>
  </conditionalFormatting>
  <conditionalFormatting sqref="C21:H21 G22 G23:H23">
    <cfRule type="containsBlanks" dxfId="48" priority="5">
      <formula>LEN(TRIM(C21))=0</formula>
    </cfRule>
  </conditionalFormatting>
  <dataValidations count="3">
    <dataValidation type="decimal" operator="greaterThan" allowBlank="1" showInputMessage="1" showErrorMessage="1" error="Digite um valor maior do que 0!" sqref="C14" xr:uid="{571A8C62-DFFC-4DB1-99B1-66FA63B9848D}">
      <formula1>0</formula1>
    </dataValidation>
    <dataValidation type="decimal" operator="greaterThan" allowBlank="1" showInputMessage="1" showErrorMessage="1" sqref="G15:H15 C16" xr:uid="{6AC52EED-BB6A-4784-9590-23A65907882A}">
      <formula1>0</formula1>
    </dataValidation>
    <dataValidation operator="greaterThan" allowBlank="1" showInputMessage="1" showErrorMessage="1" error="Digite um valor maior do que 0!" sqref="C15:E15" xr:uid="{174BA5FD-5806-40F1-B0D1-1D51AC501116}"/>
  </dataValidations>
  <hyperlinks>
    <hyperlink ref="C13" r:id="rId1" xr:uid="{42CD96BB-512A-44DF-B35F-4E64E1F6E629}"/>
    <hyperlink ref="G22" r:id="rId2" xr:uid="{ED52CABF-89A0-478E-AECA-D1C74019AEFA}"/>
    <hyperlink ref="G23" r:id="rId3" xr:uid="{396F5DBB-14C2-4A8F-ADC8-ACD6B1296EFD}"/>
  </hyperlinks>
  <pageMargins left="0.511811024" right="0.511811024" top="0.78740157499999996" bottom="0.78740157499999996" header="0.31496062000000002" footer="0.31496062000000002"/>
  <pageSetup paperSize="9" orientation="portrait" r:id="rId4"/>
  <ignoredErrors>
    <ignoredError sqref="C15" unlockedFormula="1"/>
  </ignoredErrors>
  <drawing r:id="rId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5EF7A2A-67E2-4A15-B95D-B5B795D402D2}">
          <x14:formula1>
            <xm:f>Apoio!$H$4:$H$10</xm:f>
          </x14:formula1>
          <xm:sqref>G17</xm:sqref>
        </x14:dataValidation>
        <x14:dataValidation type="list" operator="greaterThan" allowBlank="1" showInputMessage="1" showErrorMessage="1" xr:uid="{F77E9947-207A-4B4E-A679-C8086740A13E}">
          <x14:formula1>
            <xm:f>Apoio!$H$4:$H$10</xm:f>
          </x14:formula1>
          <xm:sqref>C17:E17</xm:sqref>
        </x14:dataValidation>
        <x14:dataValidation type="list" allowBlank="1" showInputMessage="1" showErrorMessage="1" error="Selecione um item na lista." xr:uid="{622C7BCA-8FC4-401B-8740-0EB79BAA152E}">
          <x14:formula1>
            <xm:f>Apoio!$D$4:$D$6</xm:f>
          </x14:formula1>
          <xm:sqref>C18:H18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41AD-2371-41C3-BCB8-F6FC0857B9BC}">
  <dimension ref="A1:F25"/>
  <sheetViews>
    <sheetView showGridLines="0" showRowColHeaders="0" zoomScaleNormal="100" workbookViewId="0">
      <selection activeCell="C12" sqref="C12"/>
    </sheetView>
  </sheetViews>
  <sheetFormatPr defaultColWidth="0" defaultRowHeight="12" zeroHeight="1" x14ac:dyDescent="0.2"/>
  <cols>
    <col min="1" max="1" width="5.7109375" customWidth="1"/>
    <col min="2" max="2" width="39.140625" bestFit="1" customWidth="1"/>
    <col min="3" max="3" width="37.7109375" customWidth="1"/>
    <col min="4" max="4" width="16.85546875" customWidth="1"/>
    <col min="5" max="5" width="29" customWidth="1"/>
    <col min="6" max="6" width="5.7109375" customWidth="1"/>
    <col min="7" max="16384" width="9.140625" hidden="1"/>
  </cols>
  <sheetData>
    <row r="1" spans="2:6" x14ac:dyDescent="0.2"/>
    <row r="2" spans="2:6" x14ac:dyDescent="0.2"/>
    <row r="3" spans="2:6" x14ac:dyDescent="0.2"/>
    <row r="4" spans="2:6" x14ac:dyDescent="0.2"/>
    <row r="5" spans="2:6" x14ac:dyDescent="0.2"/>
    <row r="6" spans="2:6" x14ac:dyDescent="0.2">
      <c r="D6" s="5" t="s">
        <v>0</v>
      </c>
    </row>
    <row r="7" spans="2:6" x14ac:dyDescent="0.2"/>
    <row r="8" spans="2:6" x14ac:dyDescent="0.2"/>
    <row r="9" spans="2:6" x14ac:dyDescent="0.2"/>
    <row r="10" spans="2:6" x14ac:dyDescent="0.2"/>
    <row r="11" spans="2:6" x14ac:dyDescent="0.2">
      <c r="B11" s="32" t="s">
        <v>311</v>
      </c>
      <c r="C11" s="103" t="s">
        <v>446</v>
      </c>
      <c r="D11" s="103"/>
      <c r="E11" s="104"/>
    </row>
    <row r="12" spans="2:6" x14ac:dyDescent="0.2">
      <c r="B12" s="32" t="s">
        <v>32</v>
      </c>
      <c r="C12" s="57" t="s">
        <v>451</v>
      </c>
      <c r="D12" s="32" t="s">
        <v>33</v>
      </c>
      <c r="E12" s="68">
        <v>83999482038</v>
      </c>
    </row>
    <row r="13" spans="2:6" x14ac:dyDescent="0.2">
      <c r="B13" s="32" t="s">
        <v>310</v>
      </c>
      <c r="C13" s="107" t="s">
        <v>453</v>
      </c>
      <c r="D13" s="103"/>
      <c r="E13" s="104"/>
    </row>
    <row r="14" spans="2:6" x14ac:dyDescent="0.2">
      <c r="B14" s="32" t="s">
        <v>386</v>
      </c>
      <c r="C14" s="67" t="s">
        <v>391</v>
      </c>
      <c r="D14" s="66" t="s">
        <v>392</v>
      </c>
      <c r="E14" s="69" t="s">
        <v>460</v>
      </c>
      <c r="F14" s="65"/>
    </row>
    <row r="15" spans="2:6" x14ac:dyDescent="0.2">
      <c r="B15" s="32" t="s">
        <v>387</v>
      </c>
      <c r="C15" s="67" t="s">
        <v>391</v>
      </c>
      <c r="D15" s="70" t="s">
        <v>392</v>
      </c>
      <c r="E15" s="69">
        <v>15</v>
      </c>
      <c r="F15" s="65"/>
    </row>
    <row r="16" spans="2:6" x14ac:dyDescent="0.2">
      <c r="B16" s="32" t="s">
        <v>388</v>
      </c>
      <c r="C16" s="67" t="s">
        <v>69</v>
      </c>
      <c r="F16" s="65"/>
    </row>
    <row r="17" spans="2:5" x14ac:dyDescent="0.2">
      <c r="B17" s="32" t="s">
        <v>381</v>
      </c>
      <c r="C17" s="105" t="s">
        <v>379</v>
      </c>
      <c r="D17" s="105"/>
      <c r="E17" s="106"/>
    </row>
    <row r="18" spans="2:5" x14ac:dyDescent="0.2">
      <c r="B18" s="32" t="s">
        <v>380</v>
      </c>
      <c r="C18" s="105" t="s">
        <v>379</v>
      </c>
      <c r="D18" s="105"/>
      <c r="E18" s="106"/>
    </row>
    <row r="19" spans="2:5" x14ac:dyDescent="0.2">
      <c r="B19" s="32" t="s">
        <v>385</v>
      </c>
      <c r="C19" s="103" t="s">
        <v>446</v>
      </c>
      <c r="D19" s="103"/>
      <c r="E19" s="104"/>
    </row>
    <row r="20" spans="2:5" x14ac:dyDescent="0.2">
      <c r="B20" s="32" t="s">
        <v>32</v>
      </c>
      <c r="C20" s="57" t="s">
        <v>451</v>
      </c>
      <c r="D20" s="32" t="s">
        <v>33</v>
      </c>
      <c r="E20" s="58">
        <v>83999482038</v>
      </c>
    </row>
    <row r="21" spans="2:5" x14ac:dyDescent="0.2">
      <c r="B21" s="32" t="s">
        <v>400</v>
      </c>
      <c r="C21" s="67" t="s">
        <v>397</v>
      </c>
      <c r="D21" s="32" t="s">
        <v>401</v>
      </c>
      <c r="E21" s="67" t="s">
        <v>440</v>
      </c>
    </row>
    <row r="22" spans="2:5" x14ac:dyDescent="0.2">
      <c r="B22" s="32" t="s">
        <v>402</v>
      </c>
      <c r="C22" s="67">
        <v>3439</v>
      </c>
      <c r="D22" s="32" t="s">
        <v>414</v>
      </c>
      <c r="E22" s="67" t="s">
        <v>452</v>
      </c>
    </row>
    <row r="23" spans="2:5" x14ac:dyDescent="0.2">
      <c r="B23" s="32" t="s">
        <v>403</v>
      </c>
      <c r="C23" s="67" t="s">
        <v>405</v>
      </c>
      <c r="D23" s="32" t="s">
        <v>408</v>
      </c>
      <c r="E23" s="67" t="s">
        <v>412</v>
      </c>
    </row>
    <row r="24" spans="2:5" x14ac:dyDescent="0.2">
      <c r="B24" s="32" t="s">
        <v>415</v>
      </c>
      <c r="C24" s="103">
        <v>44410871000159</v>
      </c>
      <c r="D24" s="103"/>
      <c r="E24" s="104"/>
    </row>
    <row r="25" spans="2:5" x14ac:dyDescent="0.2"/>
  </sheetData>
  <sheetProtection sheet="1" selectLockedCells="1"/>
  <mergeCells count="6">
    <mergeCell ref="C24:E24"/>
    <mergeCell ref="C17:E17"/>
    <mergeCell ref="C18:E18"/>
    <mergeCell ref="C19:E19"/>
    <mergeCell ref="C11:E11"/>
    <mergeCell ref="C13:E13"/>
  </mergeCells>
  <conditionalFormatting sqref="C11:C24">
    <cfRule type="containsBlanks" dxfId="47" priority="1">
      <formula>LEN(TRIM(C11))=0</formula>
    </cfRule>
  </conditionalFormatting>
  <conditionalFormatting sqref="D14:E14">
    <cfRule type="expression" dxfId="46" priority="8">
      <formula>$C$14&lt;&gt;"Outros (sujeito a aprovação)"</formula>
    </cfRule>
  </conditionalFormatting>
  <conditionalFormatting sqref="D15:E15">
    <cfRule type="expression" dxfId="45" priority="7">
      <formula>$C$15&lt;&gt;"Outros (sujeito a aprovação)"</formula>
    </cfRule>
  </conditionalFormatting>
  <conditionalFormatting sqref="E12">
    <cfRule type="containsBlanks" dxfId="44" priority="14">
      <formula>LEN(TRIM(E12))=0</formula>
    </cfRule>
  </conditionalFormatting>
  <conditionalFormatting sqref="E14:E15">
    <cfRule type="containsBlanks" dxfId="43" priority="19">
      <formula>LEN(TRIM(E14))=0</formula>
    </cfRule>
  </conditionalFormatting>
  <conditionalFormatting sqref="E20:E23">
    <cfRule type="containsBlanks" dxfId="42" priority="2">
      <formula>LEN(TRIM(E20))=0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4F27AF8-4817-4D04-AD00-DBDABE0A9FB6}">
          <x14:formula1>
            <xm:f>Apoio!$H$79:$H$81</xm:f>
          </x14:formula1>
          <xm:sqref>C14:C15</xm:sqref>
        </x14:dataValidation>
        <x14:dataValidation type="list" allowBlank="1" showInputMessage="1" showErrorMessage="1" xr:uid="{F10C39F7-78C5-4BE0-A075-E7121310B557}">
          <x14:formula1>
            <xm:f>Apoio!$H$13:$H$14</xm:f>
          </x14:formula1>
          <xm:sqref>C16</xm:sqref>
        </x14:dataValidation>
        <x14:dataValidation type="list" allowBlank="1" showInputMessage="1" showErrorMessage="1" xr:uid="{C897D38F-36FB-4763-ACBC-53790E9E2305}">
          <x14:formula1>
            <xm:f>Apoio!$J$70:$J$75</xm:f>
          </x14:formula1>
          <xm:sqref>C21</xm:sqref>
        </x14:dataValidation>
        <x14:dataValidation type="list" allowBlank="1" showInputMessage="1" showErrorMessage="1" xr:uid="{0EDE4526-05F1-44AC-9048-3244AB3E113A}">
          <x14:formula1>
            <xm:f>Apoio!$J$78:$J$80</xm:f>
          </x14:formula1>
          <xm:sqref>C23</xm:sqref>
        </x14:dataValidation>
        <x14:dataValidation type="list" allowBlank="1" showInputMessage="1" showErrorMessage="1" xr:uid="{8A52F637-D14B-4A74-93A2-BDC937FDBCCF}">
          <x14:formula1>
            <xm:f>Apoio!$J$83:$J$87</xm:f>
          </x14:formula1>
          <xm:sqref>E23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51DF9-5254-407D-AD46-D8477FB9B7AC}">
  <dimension ref="A1:L56"/>
  <sheetViews>
    <sheetView showGridLines="0" showRowColHeaders="0" zoomScaleNormal="100" workbookViewId="0">
      <selection activeCell="C13" sqref="C13:E13"/>
    </sheetView>
  </sheetViews>
  <sheetFormatPr defaultColWidth="0" defaultRowHeight="12" zeroHeight="1" x14ac:dyDescent="0.2"/>
  <cols>
    <col min="1" max="1" width="5.7109375" customWidth="1"/>
    <col min="2" max="2" width="64.85546875" bestFit="1" customWidth="1"/>
    <col min="3" max="6" width="9.140625" customWidth="1"/>
    <col min="7" max="7" width="8.7109375" customWidth="1"/>
    <col min="8" max="8" width="27.7109375" customWidth="1"/>
    <col min="9" max="9" width="37.5703125" style="23" customWidth="1"/>
    <col min="10" max="10" width="5.7109375" customWidth="1"/>
    <col min="11" max="12" width="9.140625" customWidth="1"/>
    <col min="13" max="23" width="9.140625" hidden="1" customWidth="1"/>
    <col min="24" max="16384" width="9.140625" hidden="1"/>
  </cols>
  <sheetData>
    <row r="1" spans="2:9" x14ac:dyDescent="0.2"/>
    <row r="2" spans="2:9" x14ac:dyDescent="0.2"/>
    <row r="3" spans="2:9" x14ac:dyDescent="0.2"/>
    <row r="4" spans="2:9" x14ac:dyDescent="0.2"/>
    <row r="5" spans="2:9" x14ac:dyDescent="0.2"/>
    <row r="6" spans="2:9" ht="15" customHeight="1" x14ac:dyDescent="0.2">
      <c r="H6" s="1" t="s">
        <v>0</v>
      </c>
    </row>
    <row r="7" spans="2:9" x14ac:dyDescent="0.2"/>
    <row r="8" spans="2:9" x14ac:dyDescent="0.2"/>
    <row r="9" spans="2:9" x14ac:dyDescent="0.2"/>
    <row r="10" spans="2:9" x14ac:dyDescent="0.2"/>
    <row r="11" spans="2:9" x14ac:dyDescent="0.2"/>
    <row r="12" spans="2:9" ht="14.1" customHeight="1" x14ac:dyDescent="0.2">
      <c r="B12" s="60" t="s">
        <v>31</v>
      </c>
      <c r="C12" s="111" t="s">
        <v>456</v>
      </c>
      <c r="D12" s="111"/>
      <c r="E12" s="111"/>
      <c r="F12" s="111"/>
      <c r="G12" s="111"/>
      <c r="H12" s="111"/>
      <c r="I12" s="112"/>
    </row>
    <row r="13" spans="2:9" ht="14.1" customHeight="1" x14ac:dyDescent="0.2">
      <c r="B13" s="60" t="s">
        <v>32</v>
      </c>
      <c r="C13" s="157" t="s">
        <v>457</v>
      </c>
      <c r="D13" s="111"/>
      <c r="E13" s="112"/>
      <c r="F13" s="154" t="s">
        <v>33</v>
      </c>
      <c r="G13" s="155"/>
      <c r="H13" s="156" t="s">
        <v>458</v>
      </c>
      <c r="I13" s="112"/>
    </row>
    <row r="14" spans="2:9" ht="14.1" customHeight="1" x14ac:dyDescent="0.2">
      <c r="B14" s="60" t="s">
        <v>34</v>
      </c>
      <c r="C14" s="111" t="s">
        <v>227</v>
      </c>
      <c r="D14" s="111"/>
      <c r="E14" s="111"/>
      <c r="F14" s="111"/>
      <c r="G14" s="111"/>
      <c r="H14" s="111"/>
      <c r="I14" s="112"/>
    </row>
    <row r="15" spans="2:9" ht="14.1" customHeight="1" x14ac:dyDescent="0.2">
      <c r="B15" s="61" t="s">
        <v>382</v>
      </c>
      <c r="C15" s="111" t="s">
        <v>459</v>
      </c>
      <c r="D15" s="111"/>
      <c r="E15" s="111"/>
      <c r="F15" s="112"/>
      <c r="G15" s="60" t="s">
        <v>35</v>
      </c>
      <c r="H15" s="111"/>
      <c r="I15" s="112"/>
    </row>
    <row r="16" spans="2:9" ht="14.1" customHeight="1" x14ac:dyDescent="0.2">
      <c r="B16" s="60" t="s">
        <v>36</v>
      </c>
      <c r="C16" s="157"/>
      <c r="D16" s="158"/>
      <c r="E16" s="158"/>
      <c r="F16" s="158"/>
      <c r="G16" s="158"/>
      <c r="H16" s="158"/>
      <c r="I16" s="159"/>
    </row>
    <row r="17" spans="2:9" ht="14.1" customHeight="1" x14ac:dyDescent="0.2">
      <c r="B17" s="62"/>
      <c r="C17" s="111"/>
      <c r="D17" s="111"/>
      <c r="E17" s="111"/>
      <c r="F17" s="111"/>
      <c r="G17" s="111"/>
      <c r="H17" s="111"/>
      <c r="I17" s="111"/>
    </row>
    <row r="18" spans="2:9" ht="14.1" customHeight="1" x14ac:dyDescent="0.2">
      <c r="B18" s="60" t="s">
        <v>37</v>
      </c>
      <c r="C18" s="111"/>
      <c r="D18" s="111"/>
      <c r="E18" s="111"/>
      <c r="F18" s="111"/>
      <c r="G18" s="111"/>
      <c r="H18" s="60" t="s">
        <v>38</v>
      </c>
      <c r="I18" s="59"/>
    </row>
    <row r="19" spans="2:9" x14ac:dyDescent="0.2">
      <c r="B19" s="60" t="s">
        <v>39</v>
      </c>
      <c r="C19" s="111"/>
      <c r="D19" s="111"/>
      <c r="E19" s="111"/>
      <c r="F19" s="111"/>
      <c r="G19" s="111"/>
      <c r="H19" s="111"/>
      <c r="I19" s="112"/>
    </row>
    <row r="20" spans="2:9" x14ac:dyDescent="0.2">
      <c r="B20" s="60" t="s">
        <v>40</v>
      </c>
      <c r="C20" s="111"/>
      <c r="D20" s="111"/>
      <c r="E20" s="111"/>
      <c r="F20" s="111"/>
      <c r="G20" s="111"/>
      <c r="H20" s="111"/>
      <c r="I20" s="112"/>
    </row>
    <row r="21" spans="2:9" x14ac:dyDescent="0.2">
      <c r="B21" s="63" t="s">
        <v>41</v>
      </c>
      <c r="C21" s="111"/>
      <c r="D21" s="111"/>
      <c r="E21" s="111"/>
      <c r="F21" s="111"/>
      <c r="G21" s="111"/>
      <c r="H21" s="111"/>
      <c r="I21" s="112"/>
    </row>
    <row r="22" spans="2:9" x14ac:dyDescent="0.2">
      <c r="B22" s="151" t="s">
        <v>42</v>
      </c>
      <c r="C22" s="142"/>
      <c r="D22" s="143"/>
      <c r="E22" s="143"/>
      <c r="F22" s="143"/>
      <c r="G22" s="143"/>
      <c r="H22" s="143"/>
      <c r="I22" s="144"/>
    </row>
    <row r="23" spans="2:9" x14ac:dyDescent="0.2">
      <c r="B23" s="152"/>
      <c r="C23" s="145"/>
      <c r="D23" s="146"/>
      <c r="E23" s="146"/>
      <c r="F23" s="146"/>
      <c r="G23" s="146"/>
      <c r="H23" s="146"/>
      <c r="I23" s="147"/>
    </row>
    <row r="24" spans="2:9" x14ac:dyDescent="0.2">
      <c r="B24" s="152"/>
      <c r="C24" s="145"/>
      <c r="D24" s="146"/>
      <c r="E24" s="146"/>
      <c r="F24" s="146"/>
      <c r="G24" s="146"/>
      <c r="H24" s="146"/>
      <c r="I24" s="147"/>
    </row>
    <row r="25" spans="2:9" x14ac:dyDescent="0.2">
      <c r="B25" s="152"/>
      <c r="C25" s="145"/>
      <c r="D25" s="146"/>
      <c r="E25" s="146"/>
      <c r="F25" s="146"/>
      <c r="G25" s="146"/>
      <c r="H25" s="146"/>
      <c r="I25" s="147"/>
    </row>
    <row r="26" spans="2:9" x14ac:dyDescent="0.2">
      <c r="B26" s="152"/>
      <c r="C26" s="145"/>
      <c r="D26" s="146"/>
      <c r="E26" s="146"/>
      <c r="F26" s="146"/>
      <c r="G26" s="146"/>
      <c r="H26" s="146"/>
      <c r="I26" s="147"/>
    </row>
    <row r="27" spans="2:9" x14ac:dyDescent="0.2">
      <c r="B27" s="152"/>
      <c r="C27" s="145"/>
      <c r="D27" s="146"/>
      <c r="E27" s="146"/>
      <c r="F27" s="146"/>
      <c r="G27" s="146"/>
      <c r="H27" s="146"/>
      <c r="I27" s="147"/>
    </row>
    <row r="28" spans="2:9" x14ac:dyDescent="0.2">
      <c r="B28" s="153"/>
      <c r="C28" s="148"/>
      <c r="D28" s="149"/>
      <c r="E28" s="149"/>
      <c r="F28" s="149"/>
      <c r="G28" s="149"/>
      <c r="H28" s="149"/>
      <c r="I28" s="150"/>
    </row>
    <row r="29" spans="2:9" x14ac:dyDescent="0.2">
      <c r="B29" s="16"/>
      <c r="C29" s="15"/>
      <c r="D29" s="15"/>
      <c r="E29" s="15"/>
      <c r="F29" s="15"/>
      <c r="G29" s="15"/>
      <c r="H29" s="15"/>
      <c r="I29" s="24"/>
    </row>
    <row r="30" spans="2:9" x14ac:dyDescent="0.2">
      <c r="B30" s="16"/>
      <c r="C30" s="15"/>
      <c r="D30" s="15"/>
      <c r="E30" s="15"/>
      <c r="F30" s="15"/>
      <c r="G30" s="15"/>
      <c r="H30" s="15"/>
      <c r="I30" s="24"/>
    </row>
    <row r="31" spans="2:9" x14ac:dyDescent="0.2">
      <c r="B31" s="16"/>
      <c r="C31" s="15"/>
      <c r="D31" s="15"/>
      <c r="E31" s="15"/>
      <c r="F31" s="15"/>
      <c r="G31" s="15"/>
      <c r="H31" s="15"/>
      <c r="I31" s="24"/>
    </row>
    <row r="32" spans="2:9" x14ac:dyDescent="0.2"/>
    <row r="33" spans="2:9" x14ac:dyDescent="0.2"/>
    <row r="34" spans="2:9" s="17" customFormat="1" ht="15" customHeight="1" x14ac:dyDescent="0.25">
      <c r="B34" s="18" t="s">
        <v>43</v>
      </c>
      <c r="C34" s="136" t="s">
        <v>44</v>
      </c>
      <c r="D34" s="137"/>
      <c r="E34" s="138"/>
      <c r="F34" s="139" t="s">
        <v>45</v>
      </c>
      <c r="G34" s="140"/>
      <c r="H34" s="141"/>
      <c r="I34" s="18" t="s">
        <v>44</v>
      </c>
    </row>
    <row r="35" spans="2:9" ht="12" customHeight="1" x14ac:dyDescent="0.2">
      <c r="B35" s="114" t="s">
        <v>46</v>
      </c>
      <c r="C35" s="115"/>
      <c r="D35" s="115"/>
      <c r="E35" s="115"/>
      <c r="F35" s="115"/>
      <c r="G35" s="115"/>
      <c r="H35" s="115"/>
      <c r="I35" s="116"/>
    </row>
    <row r="36" spans="2:9" ht="30" customHeight="1" x14ac:dyDescent="0.2">
      <c r="B36" s="19" t="s">
        <v>47</v>
      </c>
      <c r="C36" s="132"/>
      <c r="D36" s="124"/>
      <c r="E36" s="125"/>
      <c r="F36" s="117" t="s">
        <v>48</v>
      </c>
      <c r="G36" s="118"/>
      <c r="H36" s="119"/>
      <c r="I36" s="28" t="str">
        <f>Geral!C12</f>
        <v>SERVLOG LOGISTICA SERVICOS EM TRANSPORTES LTDA</v>
      </c>
    </row>
    <row r="37" spans="2:9" ht="32.450000000000003" customHeight="1" x14ac:dyDescent="0.2">
      <c r="B37" s="19" t="s">
        <v>49</v>
      </c>
      <c r="C37" s="133" t="str">
        <f>Geral!H20</f>
        <v>NF-E</v>
      </c>
      <c r="D37" s="134"/>
      <c r="E37" s="135"/>
      <c r="F37" s="117" t="s">
        <v>50</v>
      </c>
      <c r="G37" s="118"/>
      <c r="H37" s="119"/>
      <c r="I37" s="28">
        <f>C18</f>
        <v>0</v>
      </c>
    </row>
    <row r="38" spans="2:9" ht="58.9" customHeight="1" x14ac:dyDescent="0.2">
      <c r="B38" s="19" t="s">
        <v>51</v>
      </c>
      <c r="C38" s="132"/>
      <c r="D38" s="124"/>
      <c r="E38" s="125"/>
      <c r="F38" s="117" t="s">
        <v>52</v>
      </c>
      <c r="G38" s="118"/>
      <c r="H38" s="119"/>
      <c r="I38" s="28" t="str">
        <f>Geral!C15</f>
        <v>Transportador</v>
      </c>
    </row>
    <row r="39" spans="2:9" ht="43.15" customHeight="1" x14ac:dyDescent="0.2">
      <c r="B39" s="19" t="s">
        <v>53</v>
      </c>
      <c r="C39" s="129" t="str">
        <f>IF(C19="Sim 是","Pedido Unitario 普通单 / Pedido Multiplo 一票多件 ","Pedido Unitario 普通单 ")</f>
        <v xml:space="preserve">Pedido Unitario 普通单 </v>
      </c>
      <c r="D39" s="130"/>
      <c r="E39" s="131"/>
      <c r="F39" s="117" t="s">
        <v>54</v>
      </c>
      <c r="G39" s="118"/>
      <c r="H39" s="119"/>
      <c r="I39" s="28" t="str">
        <f>Geral!C20</f>
        <v>Transporte 承运商</v>
      </c>
    </row>
    <row r="40" spans="2:9" ht="30" customHeight="1" x14ac:dyDescent="0.2">
      <c r="B40" s="19" t="s">
        <v>55</v>
      </c>
      <c r="C40" s="129" t="str">
        <f>IF(C39="Pedido Unitario 普通单 / Pedido Multiplo 一票多件 ","nº unitário 一票多件单号 /nº múltiplo 普通单号","nº unitário 一票多件单号")</f>
        <v>nº unitário 一票多件单号</v>
      </c>
      <c r="D40" s="130"/>
      <c r="E40" s="131"/>
      <c r="F40" s="120" t="s">
        <v>56</v>
      </c>
      <c r="G40" s="121"/>
      <c r="H40" s="122"/>
      <c r="I40" s="28" t="str">
        <f>Geral!C14</f>
        <v>44410871000159</v>
      </c>
    </row>
    <row r="41" spans="2:9" ht="30" x14ac:dyDescent="0.2">
      <c r="B41" s="20" t="s">
        <v>57</v>
      </c>
      <c r="C41" s="132"/>
      <c r="D41" s="124"/>
      <c r="E41" s="125"/>
      <c r="F41" s="120" t="s">
        <v>58</v>
      </c>
      <c r="G41" s="121"/>
      <c r="H41" s="122"/>
      <c r="I41" s="29">
        <f>Geral!H14</f>
        <v>164196005</v>
      </c>
    </row>
    <row r="42" spans="2:9" ht="36" customHeight="1" x14ac:dyDescent="0.2">
      <c r="B42" s="20" t="s">
        <v>59</v>
      </c>
      <c r="C42" s="132"/>
      <c r="D42" s="124"/>
      <c r="E42" s="125"/>
      <c r="F42" s="113" t="s">
        <v>60</v>
      </c>
      <c r="G42" s="113"/>
      <c r="H42" s="113"/>
      <c r="I42" s="29" t="str">
        <f>Geral!H22</f>
        <v>anacarla.lucena@jtexpress.com.br</v>
      </c>
    </row>
    <row r="43" spans="2:9" ht="49.15" customHeight="1" x14ac:dyDescent="0.2">
      <c r="B43" s="21" t="s">
        <v>61</v>
      </c>
      <c r="C43" s="132"/>
      <c r="D43" s="124"/>
      <c r="E43" s="125"/>
      <c r="F43" s="113" t="s">
        <v>62</v>
      </c>
      <c r="G43" s="113"/>
      <c r="H43" s="113"/>
      <c r="I43" s="28" t="str">
        <f>C13</f>
        <v>jlgiovanetti@gmail.com</v>
      </c>
    </row>
    <row r="44" spans="2:9" ht="30" x14ac:dyDescent="0.2">
      <c r="B44" s="22" t="s">
        <v>63</v>
      </c>
      <c r="C44" s="129" t="str">
        <f>IF(C21="Não 否","0,01KG - 30,00KG","0,01KG - 35,00KG")</f>
        <v>0,01KG - 35,00KG</v>
      </c>
      <c r="D44" s="130"/>
      <c r="E44" s="131"/>
      <c r="F44" s="108"/>
      <c r="G44" s="109"/>
      <c r="H44" s="109"/>
      <c r="I44" s="110"/>
    </row>
    <row r="45" spans="2:9" ht="30" x14ac:dyDescent="0.2">
      <c r="B45" s="22" t="s">
        <v>64</v>
      </c>
      <c r="C45" s="129" t="str">
        <f>Geral!C24</f>
        <v>Normal</v>
      </c>
      <c r="D45" s="130"/>
      <c r="E45" s="131"/>
      <c r="F45" s="113" t="s">
        <v>65</v>
      </c>
      <c r="G45" s="113"/>
      <c r="H45" s="113"/>
      <c r="I45" s="28" t="str">
        <f>Geral!C16</f>
        <v>ROD BR 101 SN KM 88 GALPÃO 28</v>
      </c>
    </row>
    <row r="46" spans="2:9" ht="42.6" customHeight="1" x14ac:dyDescent="0.2">
      <c r="B46" s="22" t="s">
        <v>66</v>
      </c>
      <c r="C46" s="123"/>
      <c r="D46" s="124"/>
      <c r="E46" s="125"/>
      <c r="F46" s="113" t="s">
        <v>67</v>
      </c>
      <c r="G46" s="113"/>
      <c r="H46" s="113"/>
      <c r="I46" s="28" t="str">
        <f>Operações!C41</f>
        <v>ROD BR 101 SN - KM 88 GALPÃO 28</v>
      </c>
    </row>
    <row r="47" spans="2:9" ht="43.15" customHeight="1" x14ac:dyDescent="0.2">
      <c r="B47" s="22" t="s">
        <v>68</v>
      </c>
      <c r="C47" s="132"/>
      <c r="D47" s="124"/>
      <c r="E47" s="125"/>
      <c r="F47" s="113" t="s">
        <v>70</v>
      </c>
      <c r="G47" s="113"/>
      <c r="H47" s="113"/>
      <c r="I47" s="26"/>
    </row>
    <row r="48" spans="2:9" ht="55.9" customHeight="1" x14ac:dyDescent="0.2">
      <c r="B48" s="22" t="s">
        <v>71</v>
      </c>
      <c r="C48" s="129" t="str">
        <f>IF(C17="j&amp;t EXPRESS","Cliente reflete status da J&amp;T 客户映射J&amp;T","J&amp;T reflete status do cliente J&amp;T映射客户")</f>
        <v>J&amp;T reflete status do cliente J&amp;T映射客户</v>
      </c>
      <c r="D48" s="130"/>
      <c r="E48" s="131"/>
      <c r="F48" s="113" t="s">
        <v>72</v>
      </c>
      <c r="G48" s="113"/>
      <c r="H48" s="113"/>
      <c r="I48" s="28" t="str">
        <f>Geral!C26</f>
        <v>Outro</v>
      </c>
    </row>
    <row r="49" spans="2:9" ht="45" customHeight="1" x14ac:dyDescent="0.2">
      <c r="B49" s="22" t="s">
        <v>73</v>
      </c>
      <c r="C49" s="129" t="str">
        <f>IF(C17="j&amp;t EXPRESS","Cliente reflete status da J&amp;T 客户映射J&amp;T","J&amp;T reflete status do cliente J&amp;T映射客户")</f>
        <v>J&amp;T reflete status do cliente J&amp;T映射客户</v>
      </c>
      <c r="D49" s="130"/>
      <c r="E49" s="131"/>
      <c r="F49" s="113" t="s">
        <v>74</v>
      </c>
      <c r="G49" s="113"/>
      <c r="H49" s="113"/>
      <c r="I49" s="27"/>
    </row>
    <row r="50" spans="2:9" ht="42.6" customHeight="1" x14ac:dyDescent="0.2">
      <c r="B50" s="22" t="s">
        <v>75</v>
      </c>
      <c r="C50" s="129" t="s">
        <v>76</v>
      </c>
      <c r="D50" s="130"/>
      <c r="E50" s="131"/>
      <c r="F50" s="113" t="s">
        <v>77</v>
      </c>
      <c r="G50" s="113"/>
      <c r="H50" s="113"/>
      <c r="I50" s="29">
        <f>Comercial!G14</f>
        <v>30</v>
      </c>
    </row>
    <row r="51" spans="2:9" ht="36.6" customHeight="1" x14ac:dyDescent="0.2">
      <c r="B51" s="22" t="s">
        <v>78</v>
      </c>
      <c r="C51" s="123"/>
      <c r="D51" s="124"/>
      <c r="E51" s="125"/>
      <c r="F51" s="113" t="s">
        <v>79</v>
      </c>
      <c r="G51" s="113"/>
      <c r="H51" s="113"/>
      <c r="I51" s="26"/>
    </row>
    <row r="52" spans="2:9" ht="39.6" customHeight="1" x14ac:dyDescent="0.2">
      <c r="B52" s="22" t="s">
        <v>80</v>
      </c>
      <c r="C52" s="126"/>
      <c r="D52" s="127"/>
      <c r="E52" s="128"/>
      <c r="F52" s="113" t="s">
        <v>81</v>
      </c>
      <c r="G52" s="113"/>
      <c r="H52" s="113"/>
      <c r="I52" s="28">
        <f>Comercial!C16</f>
        <v>2</v>
      </c>
    </row>
    <row r="53" spans="2:9" x14ac:dyDescent="0.2"/>
    <row r="54" spans="2:9" x14ac:dyDescent="0.2"/>
    <row r="55" spans="2:9" x14ac:dyDescent="0.2"/>
    <row r="56" spans="2:9" x14ac:dyDescent="0.2"/>
  </sheetData>
  <sheetProtection sheet="1" selectLockedCells="1"/>
  <mergeCells count="52">
    <mergeCell ref="C34:E34"/>
    <mergeCell ref="F34:H34"/>
    <mergeCell ref="C22:I28"/>
    <mergeCell ref="B22:B28"/>
    <mergeCell ref="C12:I12"/>
    <mergeCell ref="C14:I14"/>
    <mergeCell ref="F13:G13"/>
    <mergeCell ref="H13:I13"/>
    <mergeCell ref="C13:E13"/>
    <mergeCell ref="C19:I19"/>
    <mergeCell ref="C20:I20"/>
    <mergeCell ref="C21:I21"/>
    <mergeCell ref="C16:I16"/>
    <mergeCell ref="C17:I17"/>
    <mergeCell ref="C15:F1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F49:H49"/>
    <mergeCell ref="F50:H50"/>
    <mergeCell ref="F51:H51"/>
    <mergeCell ref="F52:H52"/>
    <mergeCell ref="C51:E51"/>
    <mergeCell ref="C52:E52"/>
    <mergeCell ref="C50:E50"/>
    <mergeCell ref="F44:I44"/>
    <mergeCell ref="H15:I15"/>
    <mergeCell ref="C18:G18"/>
    <mergeCell ref="F48:H48"/>
    <mergeCell ref="B35:I35"/>
    <mergeCell ref="F36:H36"/>
    <mergeCell ref="F37:H37"/>
    <mergeCell ref="F38:H38"/>
    <mergeCell ref="F39:H39"/>
    <mergeCell ref="F40:H40"/>
    <mergeCell ref="F41:H41"/>
    <mergeCell ref="F42:H42"/>
    <mergeCell ref="F43:H43"/>
    <mergeCell ref="F45:H45"/>
    <mergeCell ref="F46:H46"/>
    <mergeCell ref="F47:H47"/>
  </mergeCells>
  <conditionalFormatting sqref="B15:C15 G15:H15">
    <cfRule type="expression" dxfId="41" priority="6">
      <formula>$C$14&lt;&gt;"Plataforma"</formula>
    </cfRule>
  </conditionalFormatting>
  <dataValidations count="2">
    <dataValidation type="list" allowBlank="1" showInputMessage="1" showErrorMessage="1" sqref="C41:E41" xr:uid="{73B7A4F6-E8A9-4C9E-B312-1392F098837B}">
      <formula1>"CNPJ,CPF, CNPJ/CPF"</formula1>
    </dataValidation>
    <dataValidation type="list" allowBlank="1" showInputMessage="1" showErrorMessage="1" sqref="C42:E42" xr:uid="{8CD5F32D-C03F-4685-8D56-736CA72896DD}">
      <formula1>"Com IE, Sem IE , Com IE / Sem IE"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9D737A53-6739-4EEF-AA8B-EFBE22551D0B}">
          <x14:formula1>
            <xm:f>Apoio!$J$42:$J$44</xm:f>
          </x14:formula1>
          <xm:sqref>C17</xm:sqref>
        </x14:dataValidation>
        <x14:dataValidation type="list" allowBlank="1" showInputMessage="1" showErrorMessage="1" xr:uid="{7B415702-671B-4050-BA8C-694A561D82B4}">
          <x14:formula1>
            <xm:f>Apoio!$J$61:$J$65</xm:f>
          </x14:formula1>
          <xm:sqref>I49</xm:sqref>
        </x14:dataValidation>
        <x14:dataValidation type="list" allowBlank="1" showInputMessage="1" showErrorMessage="1" xr:uid="{170FBC8A-E612-4D2B-A9E0-1EB29706E2D2}">
          <x14:formula1>
            <xm:f>Apoio!$J$23:$J$29</xm:f>
          </x14:formula1>
          <xm:sqref>C14:I14</xm:sqref>
        </x14:dataValidation>
        <x14:dataValidation type="list" allowBlank="1" showInputMessage="1" showErrorMessage="1" xr:uid="{22F3008D-C305-4F5D-B8FE-27F3E91EDF6E}">
          <x14:formula1>
            <xm:f>Apoio!$H$75:$H$76</xm:f>
          </x14:formula1>
          <xm:sqref>C43:E43</xm:sqref>
        </x14:dataValidation>
        <x14:dataValidation type="list" allowBlank="1" showInputMessage="1" showErrorMessage="1" xr:uid="{91DF9E01-A10F-414C-9929-080BDC04D0AB}">
          <x14:formula1>
            <xm:f>Apoio!$H$13:$H$14</xm:f>
          </x14:formula1>
          <xm:sqref>C19:I21 C52:E52 C47:E47</xm:sqref>
        </x14:dataValidation>
        <x14:dataValidation type="list" allowBlank="1" showInputMessage="1" showErrorMessage="1" xr:uid="{DB5E1963-CBC3-44A8-BBD6-0BB0A00199FA}">
          <x14:formula1>
            <xm:f>Apoio!$H$64:$H$67</xm:f>
          </x14:formula1>
          <xm:sqref>C36:E36</xm:sqref>
        </x14:dataValidation>
        <x14:dataValidation type="list" allowBlank="1" showInputMessage="1" showErrorMessage="1" xr:uid="{3C2DBABD-C863-43E6-9C70-302720C01AB0}">
          <x14:formula1>
            <xm:f>Apoio!$H$70:$H$72</xm:f>
          </x14:formula1>
          <xm:sqref>C38:E38</xm:sqref>
        </x14:dataValidation>
        <x14:dataValidation type="list" allowBlank="1" showInputMessage="1" showErrorMessage="1" xr:uid="{3B077838-8FE1-403D-9C38-36D3B2A208E4}">
          <x14:formula1>
            <xm:f>Apoio!$H$34:$H$35</xm:f>
          </x14:formula1>
          <xm:sqref>I47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385B-8300-4236-B7DF-252F44903E87}">
  <dimension ref="A1:K68"/>
  <sheetViews>
    <sheetView showGridLines="0" showRowColHeaders="0" topLeftCell="A6" workbookViewId="0">
      <selection activeCell="I16" sqref="I16"/>
    </sheetView>
  </sheetViews>
  <sheetFormatPr defaultColWidth="0" defaultRowHeight="12" customHeight="1" zeroHeight="1" x14ac:dyDescent="0.2"/>
  <cols>
    <col min="1" max="1" width="5.7109375" customWidth="1"/>
    <col min="2" max="2" width="36.5703125" customWidth="1"/>
    <col min="3" max="3" width="16.7109375" customWidth="1"/>
    <col min="4" max="4" width="8" customWidth="1"/>
    <col min="5" max="5" width="18" customWidth="1"/>
    <col min="6" max="6" width="5" customWidth="1"/>
    <col min="7" max="7" width="12.140625" customWidth="1"/>
    <col min="8" max="8" width="13.85546875" customWidth="1"/>
    <col min="9" max="9" width="26.28515625" customWidth="1"/>
    <col min="10" max="10" width="5.7109375" customWidth="1"/>
    <col min="11" max="11" width="0" hidden="1" customWidth="1"/>
    <col min="12" max="22" width="9.140625" hidden="1" customWidth="1"/>
    <col min="23" max="16384" width="9.140625" hidden="1"/>
  </cols>
  <sheetData>
    <row r="1" spans="2:9" x14ac:dyDescent="0.2"/>
    <row r="2" spans="2:9" x14ac:dyDescent="0.2"/>
    <row r="3" spans="2:9" x14ac:dyDescent="0.2"/>
    <row r="4" spans="2:9" x14ac:dyDescent="0.2"/>
    <row r="5" spans="2:9" x14ac:dyDescent="0.2"/>
    <row r="6" spans="2:9" ht="15" customHeight="1" x14ac:dyDescent="0.2">
      <c r="H6" s="1" t="s">
        <v>0</v>
      </c>
    </row>
    <row r="7" spans="2:9" x14ac:dyDescent="0.2"/>
    <row r="8" spans="2:9" x14ac:dyDescent="0.2"/>
    <row r="9" spans="2:9" x14ac:dyDescent="0.2"/>
    <row r="10" spans="2:9" x14ac:dyDescent="0.2"/>
    <row r="11" spans="2:9" x14ac:dyDescent="0.2"/>
    <row r="12" spans="2:9" ht="14.1" customHeight="1" x14ac:dyDescent="0.2">
      <c r="B12" s="30" t="s">
        <v>314</v>
      </c>
      <c r="C12" s="212" t="s">
        <v>69</v>
      </c>
      <c r="D12" s="212"/>
      <c r="E12" s="212"/>
      <c r="F12" s="214" t="s">
        <v>315</v>
      </c>
      <c r="G12" s="215"/>
      <c r="H12" s="216"/>
      <c r="I12" s="36" t="s">
        <v>168</v>
      </c>
    </row>
    <row r="13" spans="2:9" x14ac:dyDescent="0.2"/>
    <row r="14" spans="2:9" x14ac:dyDescent="0.2">
      <c r="B14" s="165" t="s">
        <v>316</v>
      </c>
      <c r="C14" s="166"/>
      <c r="D14" s="166"/>
      <c r="E14" s="166"/>
      <c r="F14" s="166"/>
      <c r="G14" s="166"/>
      <c r="H14" s="166"/>
      <c r="I14" s="167"/>
    </row>
    <row r="15" spans="2:9" ht="14.1" customHeight="1" x14ac:dyDescent="0.2">
      <c r="B15" s="35" t="s">
        <v>317</v>
      </c>
      <c r="C15" s="202" t="s">
        <v>442</v>
      </c>
      <c r="D15" s="203"/>
      <c r="E15" s="203"/>
      <c r="F15" s="203"/>
      <c r="G15" s="203"/>
      <c r="H15" s="203"/>
      <c r="I15" s="213"/>
    </row>
    <row r="16" spans="2:9" ht="14.1" customHeight="1" x14ac:dyDescent="0.2">
      <c r="B16" s="35" t="s">
        <v>318</v>
      </c>
      <c r="C16" s="36" t="s">
        <v>454</v>
      </c>
      <c r="D16" s="30" t="s">
        <v>319</v>
      </c>
      <c r="E16" s="48" t="s">
        <v>443</v>
      </c>
      <c r="F16" s="30" t="s">
        <v>320</v>
      </c>
      <c r="G16" s="36" t="s">
        <v>188</v>
      </c>
      <c r="H16" s="30" t="s">
        <v>321</v>
      </c>
      <c r="I16" s="37" t="s">
        <v>455</v>
      </c>
    </row>
    <row r="17" spans="2:9" ht="14.1" customHeight="1" x14ac:dyDescent="0.2">
      <c r="B17" s="35" t="s">
        <v>322</v>
      </c>
      <c r="C17" s="202" t="s">
        <v>446</v>
      </c>
      <c r="D17" s="204"/>
      <c r="E17" s="38" t="s">
        <v>323</v>
      </c>
      <c r="F17" s="202"/>
      <c r="G17" s="204"/>
      <c r="H17" s="38" t="s">
        <v>324</v>
      </c>
      <c r="I17" s="37"/>
    </row>
    <row r="18" spans="2:9" ht="14.1" customHeight="1" x14ac:dyDescent="0.2">
      <c r="B18" s="35" t="s">
        <v>325</v>
      </c>
      <c r="C18" s="202">
        <v>5</v>
      </c>
      <c r="D18" s="204"/>
      <c r="E18" s="38" t="s">
        <v>326</v>
      </c>
      <c r="F18" s="202">
        <v>3</v>
      </c>
      <c r="G18" s="204"/>
      <c r="H18" s="38" t="s">
        <v>327</v>
      </c>
      <c r="I18" s="37"/>
    </row>
    <row r="19" spans="2:9" x14ac:dyDescent="0.2">
      <c r="B19" s="39" t="s">
        <v>328</v>
      </c>
      <c r="C19" s="199" t="s">
        <v>30</v>
      </c>
      <c r="D19" s="200"/>
      <c r="E19" s="200"/>
      <c r="F19" s="200"/>
      <c r="G19" s="200"/>
      <c r="H19" s="200"/>
      <c r="I19" s="201"/>
    </row>
    <row r="20" spans="2:9" ht="14.1" customHeight="1" x14ac:dyDescent="0.2">
      <c r="B20" s="40" t="s">
        <v>329</v>
      </c>
      <c r="C20" s="202" t="s">
        <v>430</v>
      </c>
      <c r="D20" s="203"/>
      <c r="E20" s="204"/>
      <c r="F20" s="205" t="s">
        <v>330</v>
      </c>
      <c r="G20" s="206"/>
      <c r="H20" s="83" t="s">
        <v>428</v>
      </c>
      <c r="I20" s="182"/>
    </row>
    <row r="21" spans="2:9" x14ac:dyDescent="0.2">
      <c r="B21" s="35" t="s">
        <v>331</v>
      </c>
      <c r="C21" s="185" t="s">
        <v>429</v>
      </c>
      <c r="D21" s="186"/>
      <c r="E21" s="207" t="s">
        <v>332</v>
      </c>
      <c r="F21" s="208"/>
      <c r="G21" s="209"/>
      <c r="H21" s="185" t="s">
        <v>427</v>
      </c>
      <c r="I21" s="210"/>
    </row>
    <row r="22" spans="2:9" x14ac:dyDescent="0.2">
      <c r="B22" s="41"/>
      <c r="C22" s="41"/>
      <c r="D22" s="41"/>
      <c r="E22" s="41"/>
      <c r="F22" s="41"/>
      <c r="G22" s="41"/>
      <c r="H22" s="41"/>
      <c r="I22" s="41"/>
    </row>
    <row r="23" spans="2:9" x14ac:dyDescent="0.2">
      <c r="B23" s="41"/>
      <c r="C23" s="41"/>
      <c r="D23" s="41"/>
      <c r="E23" s="41"/>
      <c r="F23" s="41"/>
      <c r="G23" s="41"/>
      <c r="H23" s="41"/>
      <c r="I23" s="41"/>
    </row>
    <row r="24" spans="2:9" x14ac:dyDescent="0.2">
      <c r="B24" s="211" t="s">
        <v>333</v>
      </c>
      <c r="C24" s="211"/>
      <c r="D24" s="211"/>
      <c r="E24" s="211"/>
      <c r="F24" s="211"/>
      <c r="G24" s="211"/>
      <c r="H24" s="211"/>
      <c r="I24" s="211"/>
    </row>
    <row r="25" spans="2:9" x14ac:dyDescent="0.2">
      <c r="B25" s="38" t="s">
        <v>334</v>
      </c>
      <c r="C25" s="212" t="s">
        <v>431</v>
      </c>
      <c r="D25" s="212"/>
      <c r="E25" s="212"/>
      <c r="F25" s="205" t="s">
        <v>335</v>
      </c>
      <c r="G25" s="206"/>
      <c r="H25" s="212" t="s">
        <v>432</v>
      </c>
      <c r="I25" s="212"/>
    </row>
    <row r="26" spans="2:9" x14ac:dyDescent="0.2">
      <c r="B26" s="38" t="s">
        <v>336</v>
      </c>
      <c r="C26" s="212"/>
      <c r="D26" s="212"/>
      <c r="E26" s="212"/>
      <c r="F26" s="212"/>
      <c r="G26" s="212"/>
      <c r="H26" s="212"/>
      <c r="I26" s="212"/>
    </row>
    <row r="27" spans="2:9" x14ac:dyDescent="0.2">
      <c r="B27" s="41"/>
      <c r="C27" s="41"/>
      <c r="D27" s="41"/>
      <c r="E27" s="41"/>
      <c r="F27" s="41"/>
      <c r="G27" s="41"/>
      <c r="H27" s="41"/>
      <c r="I27" s="41"/>
    </row>
    <row r="28" spans="2:9" x14ac:dyDescent="0.2">
      <c r="B28" s="165" t="s">
        <v>337</v>
      </c>
      <c r="C28" s="166"/>
      <c r="D28" s="166"/>
      <c r="E28" s="166"/>
      <c r="F28" s="166"/>
      <c r="G28" s="166"/>
      <c r="H28" s="166"/>
      <c r="I28" s="167"/>
    </row>
    <row r="29" spans="2:9" x14ac:dyDescent="0.2">
      <c r="B29" s="42" t="s">
        <v>338</v>
      </c>
      <c r="C29" s="183" t="s">
        <v>433</v>
      </c>
      <c r="D29" s="184"/>
      <c r="E29" s="43" t="s">
        <v>323</v>
      </c>
      <c r="F29" s="185"/>
      <c r="G29" s="186"/>
      <c r="H29" s="43" t="s">
        <v>324</v>
      </c>
      <c r="I29" s="44"/>
    </row>
    <row r="30" spans="2:9" x14ac:dyDescent="0.2">
      <c r="B30" s="41"/>
      <c r="C30" s="41"/>
      <c r="D30" s="41"/>
      <c r="E30" s="41"/>
      <c r="F30" s="41"/>
      <c r="G30" s="41"/>
      <c r="H30" s="41"/>
      <c r="I30" s="41"/>
    </row>
    <row r="31" spans="2:9" x14ac:dyDescent="0.2">
      <c r="B31" s="179" t="s">
        <v>339</v>
      </c>
      <c r="C31" s="180"/>
      <c r="D31" s="180"/>
      <c r="E31" s="180"/>
      <c r="F31" s="180"/>
      <c r="G31" s="180"/>
      <c r="H31" s="180"/>
      <c r="I31" s="181"/>
    </row>
    <row r="32" spans="2:9" x14ac:dyDescent="0.2">
      <c r="B32" s="42" t="s">
        <v>340</v>
      </c>
      <c r="C32" s="45" t="s">
        <v>69</v>
      </c>
      <c r="D32" s="46" t="s">
        <v>341</v>
      </c>
      <c r="E32" s="43"/>
      <c r="F32" s="187"/>
      <c r="G32" s="188"/>
      <c r="H32" s="188"/>
      <c r="I32" s="189"/>
    </row>
    <row r="33" spans="2:9" x14ac:dyDescent="0.2">
      <c r="B33" s="41"/>
      <c r="C33" s="41"/>
      <c r="D33" s="41"/>
      <c r="E33" s="41"/>
      <c r="F33" s="41"/>
      <c r="G33" s="41"/>
      <c r="H33" s="41"/>
      <c r="I33" s="41"/>
    </row>
    <row r="34" spans="2:9" x14ac:dyDescent="0.2">
      <c r="B34" s="165" t="s">
        <v>339</v>
      </c>
      <c r="C34" s="166"/>
      <c r="D34" s="166"/>
      <c r="E34" s="166"/>
      <c r="F34" s="166"/>
      <c r="G34" s="166"/>
      <c r="H34" s="166"/>
      <c r="I34" s="167"/>
    </row>
    <row r="35" spans="2:9" x14ac:dyDescent="0.2">
      <c r="B35" s="190"/>
      <c r="C35" s="191"/>
      <c r="D35" s="191"/>
      <c r="E35" s="191"/>
      <c r="F35" s="191"/>
      <c r="G35" s="191"/>
      <c r="H35" s="191"/>
      <c r="I35" s="192"/>
    </row>
    <row r="36" spans="2:9" ht="35.450000000000003" customHeight="1" x14ac:dyDescent="0.2">
      <c r="B36" s="193"/>
      <c r="C36" s="194"/>
      <c r="D36" s="194"/>
      <c r="E36" s="194"/>
      <c r="F36" s="194"/>
      <c r="G36" s="194"/>
      <c r="H36" s="194"/>
      <c r="I36" s="195"/>
    </row>
    <row r="37" spans="2:9" x14ac:dyDescent="0.2">
      <c r="B37" s="41"/>
      <c r="C37" s="41"/>
      <c r="D37" s="41"/>
      <c r="E37" s="41"/>
      <c r="F37" s="41"/>
      <c r="G37" s="41"/>
      <c r="H37" s="41"/>
      <c r="I37" s="41"/>
    </row>
    <row r="38" spans="2:9" x14ac:dyDescent="0.2">
      <c r="B38" s="196" t="s">
        <v>342</v>
      </c>
      <c r="C38" s="197"/>
      <c r="D38" s="197"/>
      <c r="E38" s="197"/>
      <c r="F38" s="197"/>
      <c r="G38" s="197"/>
      <c r="H38" s="197"/>
      <c r="I38" s="198"/>
    </row>
    <row r="39" spans="2:9" x14ac:dyDescent="0.2">
      <c r="B39" s="41"/>
      <c r="C39" s="41"/>
      <c r="D39" s="41"/>
      <c r="E39" s="41"/>
      <c r="F39" s="41"/>
      <c r="G39" s="41"/>
      <c r="H39" s="41"/>
      <c r="I39" s="41"/>
    </row>
    <row r="40" spans="2:9" x14ac:dyDescent="0.2">
      <c r="B40" s="179" t="s">
        <v>343</v>
      </c>
      <c r="C40" s="180"/>
      <c r="D40" s="180"/>
      <c r="E40" s="180"/>
      <c r="F40" s="180"/>
      <c r="G40" s="180"/>
      <c r="H40" s="180"/>
      <c r="I40" s="181"/>
    </row>
    <row r="41" spans="2:9" x14ac:dyDescent="0.2">
      <c r="B41" s="47" t="s">
        <v>310</v>
      </c>
      <c r="C41" s="83" t="s">
        <v>442</v>
      </c>
      <c r="D41" s="84"/>
      <c r="E41" s="84"/>
      <c r="F41" s="84"/>
      <c r="G41" s="84"/>
      <c r="H41" s="84"/>
      <c r="I41" s="182"/>
    </row>
    <row r="42" spans="2:9" ht="14.25" x14ac:dyDescent="0.2">
      <c r="B42" s="47" t="s">
        <v>319</v>
      </c>
      <c r="C42" s="36" t="s">
        <v>443</v>
      </c>
      <c r="D42" s="38" t="s">
        <v>318</v>
      </c>
      <c r="E42" s="48" t="s">
        <v>454</v>
      </c>
      <c r="F42" s="38" t="s">
        <v>320</v>
      </c>
      <c r="G42" s="36" t="s">
        <v>188</v>
      </c>
      <c r="H42" s="38" t="s">
        <v>344</v>
      </c>
      <c r="I42" s="64" t="s">
        <v>455</v>
      </c>
    </row>
    <row r="43" spans="2:9" x14ac:dyDescent="0.2">
      <c r="B43" s="47" t="s">
        <v>322</v>
      </c>
      <c r="C43" s="83" t="s">
        <v>446</v>
      </c>
      <c r="D43" s="85"/>
      <c r="E43" s="38" t="s">
        <v>323</v>
      </c>
      <c r="F43" s="83"/>
      <c r="G43" s="85"/>
      <c r="H43" s="38" t="s">
        <v>324</v>
      </c>
      <c r="I43" s="37"/>
    </row>
    <row r="44" spans="2:9" x14ac:dyDescent="0.2">
      <c r="B44" s="49" t="s">
        <v>338</v>
      </c>
      <c r="C44" s="83"/>
      <c r="D44" s="85"/>
      <c r="E44" s="50" t="s">
        <v>323</v>
      </c>
      <c r="F44" s="83"/>
      <c r="G44" s="85"/>
      <c r="H44" s="38" t="s">
        <v>324</v>
      </c>
      <c r="I44" s="37"/>
    </row>
    <row r="45" spans="2:9" x14ac:dyDescent="0.2">
      <c r="B45" s="49" t="s">
        <v>329</v>
      </c>
      <c r="C45" s="83" t="s">
        <v>427</v>
      </c>
      <c r="D45" s="85"/>
      <c r="E45" s="38" t="s">
        <v>383</v>
      </c>
      <c r="F45" s="83" t="s">
        <v>435</v>
      </c>
      <c r="G45" s="85"/>
      <c r="H45" s="38" t="s">
        <v>384</v>
      </c>
      <c r="I45" s="37" t="s">
        <v>435</v>
      </c>
    </row>
    <row r="46" spans="2:9" x14ac:dyDescent="0.2">
      <c r="B46" s="51" t="s">
        <v>330</v>
      </c>
      <c r="C46" s="177" t="s">
        <v>428</v>
      </c>
      <c r="D46" s="103"/>
      <c r="E46" s="103"/>
      <c r="F46" s="103"/>
      <c r="G46" s="103"/>
      <c r="H46" s="103"/>
      <c r="I46" s="178"/>
    </row>
    <row r="47" spans="2:9" x14ac:dyDescent="0.2">
      <c r="B47" s="41"/>
      <c r="C47" s="41"/>
      <c r="D47" s="41"/>
      <c r="E47" s="41"/>
      <c r="F47" s="41"/>
      <c r="G47" s="41"/>
      <c r="H47" s="41"/>
      <c r="I47" s="41"/>
    </row>
    <row r="48" spans="2:9" x14ac:dyDescent="0.2">
      <c r="B48" s="179" t="s">
        <v>345</v>
      </c>
      <c r="C48" s="180"/>
      <c r="D48" s="180"/>
      <c r="E48" s="180"/>
      <c r="F48" s="180"/>
      <c r="G48" s="180"/>
      <c r="H48" s="180"/>
      <c r="I48" s="181"/>
    </row>
    <row r="49" spans="2:9" x14ac:dyDescent="0.2">
      <c r="B49" s="49" t="s">
        <v>346</v>
      </c>
      <c r="C49" s="83" t="s">
        <v>431</v>
      </c>
      <c r="D49" s="84"/>
      <c r="E49" s="84"/>
      <c r="F49" s="84"/>
      <c r="G49" s="84"/>
      <c r="H49" s="84"/>
      <c r="I49" s="182"/>
    </row>
    <row r="50" spans="2:9" x14ac:dyDescent="0.2">
      <c r="B50" s="47" t="s">
        <v>347</v>
      </c>
      <c r="C50" s="36" t="s">
        <v>426</v>
      </c>
      <c r="D50" s="38" t="s">
        <v>348</v>
      </c>
      <c r="E50" s="83"/>
      <c r="F50" s="85"/>
      <c r="G50" s="38" t="s">
        <v>324</v>
      </c>
      <c r="H50" s="83"/>
      <c r="I50" s="182"/>
    </row>
    <row r="51" spans="2:9" x14ac:dyDescent="0.2">
      <c r="B51" s="47" t="s">
        <v>349</v>
      </c>
      <c r="C51" s="83"/>
      <c r="D51" s="84"/>
      <c r="E51" s="84"/>
      <c r="F51" s="84"/>
      <c r="G51" s="84"/>
      <c r="H51" s="84"/>
      <c r="I51" s="182"/>
    </row>
    <row r="52" spans="2:9" x14ac:dyDescent="0.2">
      <c r="B52" s="47" t="s">
        <v>350</v>
      </c>
      <c r="C52" s="83"/>
      <c r="D52" s="84"/>
      <c r="E52" s="84"/>
      <c r="F52" s="84"/>
      <c r="G52" s="84"/>
      <c r="H52" s="84"/>
      <c r="I52" s="182"/>
    </row>
    <row r="53" spans="2:9" x14ac:dyDescent="0.2">
      <c r="B53" s="49" t="s">
        <v>351</v>
      </c>
      <c r="C53" s="83"/>
      <c r="D53" s="84"/>
      <c r="E53" s="84"/>
      <c r="F53" s="84"/>
      <c r="G53" s="84"/>
      <c r="H53" s="84"/>
      <c r="I53" s="182"/>
    </row>
    <row r="54" spans="2:9" x14ac:dyDescent="0.2">
      <c r="B54" s="47" t="s">
        <v>352</v>
      </c>
      <c r="C54" s="36"/>
      <c r="D54" s="38" t="s">
        <v>348</v>
      </c>
      <c r="E54" s="83"/>
      <c r="F54" s="85"/>
      <c r="G54" s="38" t="s">
        <v>324</v>
      </c>
      <c r="H54" s="83"/>
      <c r="I54" s="182"/>
    </row>
    <row r="55" spans="2:9" x14ac:dyDescent="0.2">
      <c r="B55" s="42" t="s">
        <v>353</v>
      </c>
      <c r="C55" s="177"/>
      <c r="D55" s="103"/>
      <c r="E55" s="103"/>
      <c r="F55" s="103"/>
      <c r="G55" s="103"/>
      <c r="H55" s="103"/>
      <c r="I55" s="178"/>
    </row>
    <row r="56" spans="2:9" x14ac:dyDescent="0.2">
      <c r="B56" s="41"/>
      <c r="C56" s="41"/>
      <c r="D56" s="41"/>
      <c r="E56" s="41"/>
      <c r="F56" s="41"/>
      <c r="G56" s="41"/>
      <c r="H56" s="41"/>
      <c r="I56" s="41"/>
    </row>
    <row r="57" spans="2:9" x14ac:dyDescent="0.2">
      <c r="B57" s="160" t="s">
        <v>354</v>
      </c>
      <c r="C57" s="161"/>
      <c r="D57" s="161"/>
      <c r="E57" s="161"/>
      <c r="F57" s="161"/>
      <c r="G57" s="161"/>
      <c r="H57" s="161"/>
      <c r="I57" s="162"/>
    </row>
    <row r="58" spans="2:9" x14ac:dyDescent="0.2">
      <c r="B58" s="52" t="s">
        <v>338</v>
      </c>
      <c r="C58" s="163" t="s">
        <v>434</v>
      </c>
      <c r="D58" s="164"/>
      <c r="E58" s="52" t="s">
        <v>323</v>
      </c>
      <c r="F58" s="83" t="s">
        <v>437</v>
      </c>
      <c r="G58" s="85"/>
      <c r="H58" s="52" t="s">
        <v>324</v>
      </c>
      <c r="I58" s="36" t="s">
        <v>436</v>
      </c>
    </row>
    <row r="59" spans="2:9" x14ac:dyDescent="0.2">
      <c r="B59" s="41"/>
      <c r="C59" s="41"/>
      <c r="D59" s="41"/>
      <c r="E59" s="41"/>
      <c r="F59" s="41"/>
      <c r="G59" s="41"/>
      <c r="H59" s="41"/>
      <c r="I59" s="41"/>
    </row>
    <row r="60" spans="2:9" x14ac:dyDescent="0.2">
      <c r="B60" s="165" t="s">
        <v>355</v>
      </c>
      <c r="C60" s="166"/>
      <c r="D60" s="166"/>
      <c r="E60" s="166"/>
      <c r="F60" s="166"/>
      <c r="G60" s="166"/>
      <c r="H60" s="166"/>
      <c r="I60" s="167"/>
    </row>
    <row r="61" spans="2:9" x14ac:dyDescent="0.2">
      <c r="B61" s="168"/>
      <c r="C61" s="169"/>
      <c r="D61" s="169"/>
      <c r="E61" s="169"/>
      <c r="F61" s="169"/>
      <c r="G61" s="169"/>
      <c r="H61" s="169"/>
      <c r="I61" s="170"/>
    </row>
    <row r="62" spans="2:9" x14ac:dyDescent="0.2">
      <c r="B62" s="171"/>
      <c r="C62" s="172"/>
      <c r="D62" s="172"/>
      <c r="E62" s="172"/>
      <c r="F62" s="172"/>
      <c r="G62" s="172"/>
      <c r="H62" s="172"/>
      <c r="I62" s="173"/>
    </row>
    <row r="63" spans="2:9" x14ac:dyDescent="0.2">
      <c r="B63" s="171"/>
      <c r="C63" s="172"/>
      <c r="D63" s="172"/>
      <c r="E63" s="172"/>
      <c r="F63" s="172"/>
      <c r="G63" s="172"/>
      <c r="H63" s="172"/>
      <c r="I63" s="173"/>
    </row>
    <row r="64" spans="2:9" x14ac:dyDescent="0.2">
      <c r="B64" s="171"/>
      <c r="C64" s="172"/>
      <c r="D64" s="172"/>
      <c r="E64" s="172"/>
      <c r="F64" s="172"/>
      <c r="G64" s="172"/>
      <c r="H64" s="172"/>
      <c r="I64" s="173"/>
    </row>
    <row r="65" spans="2:9" x14ac:dyDescent="0.2">
      <c r="B65" s="171"/>
      <c r="C65" s="172"/>
      <c r="D65" s="172"/>
      <c r="E65" s="172"/>
      <c r="F65" s="172"/>
      <c r="G65" s="172"/>
      <c r="H65" s="172"/>
      <c r="I65" s="173"/>
    </row>
    <row r="66" spans="2:9" x14ac:dyDescent="0.2">
      <c r="B66" s="174"/>
      <c r="C66" s="175"/>
      <c r="D66" s="175"/>
      <c r="E66" s="175"/>
      <c r="F66" s="175"/>
      <c r="G66" s="175"/>
      <c r="H66" s="175"/>
      <c r="I66" s="176"/>
    </row>
    <row r="67" spans="2:9" x14ac:dyDescent="0.2"/>
    <row r="68" spans="2:9" x14ac:dyDescent="0.2"/>
  </sheetData>
  <sheetProtection sheet="1" selectLockedCells="1"/>
  <mergeCells count="52">
    <mergeCell ref="C18:D18"/>
    <mergeCell ref="F18:G18"/>
    <mergeCell ref="C12:E12"/>
    <mergeCell ref="B14:I14"/>
    <mergeCell ref="C15:I15"/>
    <mergeCell ref="C17:D17"/>
    <mergeCell ref="F17:G17"/>
    <mergeCell ref="F12:H12"/>
    <mergeCell ref="B28:I28"/>
    <mergeCell ref="C19:I19"/>
    <mergeCell ref="C20:E20"/>
    <mergeCell ref="F20:G20"/>
    <mergeCell ref="H20:I20"/>
    <mergeCell ref="C21:D21"/>
    <mergeCell ref="E21:G21"/>
    <mergeCell ref="H21:I21"/>
    <mergeCell ref="B24:I24"/>
    <mergeCell ref="C25:E25"/>
    <mergeCell ref="F25:G25"/>
    <mergeCell ref="H25:I25"/>
    <mergeCell ref="C26:I26"/>
    <mergeCell ref="C44:D44"/>
    <mergeCell ref="F44:G44"/>
    <mergeCell ref="C29:D29"/>
    <mergeCell ref="F29:G29"/>
    <mergeCell ref="B31:I31"/>
    <mergeCell ref="F32:I32"/>
    <mergeCell ref="B34:I34"/>
    <mergeCell ref="B35:I36"/>
    <mergeCell ref="B38:I38"/>
    <mergeCell ref="B40:I40"/>
    <mergeCell ref="C41:I41"/>
    <mergeCell ref="C43:D43"/>
    <mergeCell ref="F43:G43"/>
    <mergeCell ref="C55:I55"/>
    <mergeCell ref="C45:D45"/>
    <mergeCell ref="F45:G45"/>
    <mergeCell ref="C46:I46"/>
    <mergeCell ref="B48:I48"/>
    <mergeCell ref="C49:I49"/>
    <mergeCell ref="E50:F50"/>
    <mergeCell ref="H50:I50"/>
    <mergeCell ref="C51:I51"/>
    <mergeCell ref="C52:I52"/>
    <mergeCell ref="C53:I53"/>
    <mergeCell ref="E54:F54"/>
    <mergeCell ref="H54:I54"/>
    <mergeCell ref="B57:I57"/>
    <mergeCell ref="C58:D58"/>
    <mergeCell ref="F58:G58"/>
    <mergeCell ref="B60:I60"/>
    <mergeCell ref="B61:I66"/>
  </mergeCells>
  <conditionalFormatting sqref="B17:B19">
    <cfRule type="containsBlanks" priority="56">
      <formula>LEN(TRIM(B17))=0</formula>
    </cfRule>
    <cfRule type="containsBlanks" dxfId="40" priority="55">
      <formula>LEN(TRIM(B17))=0</formula>
    </cfRule>
  </conditionalFormatting>
  <conditionalFormatting sqref="B35">
    <cfRule type="containsBlanks" dxfId="39" priority="31">
      <formula>LEN(TRIM(B35))=0</formula>
    </cfRule>
    <cfRule type="containsBlanks" priority="32">
      <formula>LEN(TRIM(B35))=0</formula>
    </cfRule>
  </conditionalFormatting>
  <conditionalFormatting sqref="B61">
    <cfRule type="containsBlanks" priority="48">
      <formula>LEN(TRIM(B61))=0</formula>
    </cfRule>
    <cfRule type="containsBlanks" dxfId="38" priority="47">
      <formula>LEN(TRIM(B61))=0</formula>
    </cfRule>
  </conditionalFormatting>
  <conditionalFormatting sqref="B16:I16">
    <cfRule type="containsBlanks" dxfId="37" priority="1">
      <formula>LEN(TRIM(B16))=0</formula>
    </cfRule>
    <cfRule type="containsBlanks" priority="2">
      <formula>LEN(TRIM(B16))=0</formula>
    </cfRule>
  </conditionalFormatting>
  <conditionalFormatting sqref="C12">
    <cfRule type="containsBlanks" dxfId="36" priority="7">
      <formula>LEN(TRIM(C12))=0</formula>
    </cfRule>
    <cfRule type="containsBlanks" priority="8">
      <formula>LEN(TRIM(C12))=0</formula>
    </cfRule>
  </conditionalFormatting>
  <conditionalFormatting sqref="C15 C19:I19 E21 C32 F43:F45">
    <cfRule type="containsBlanks" dxfId="35" priority="57">
      <formula>LEN(TRIM(C15))=0</formula>
    </cfRule>
    <cfRule type="containsBlanks" priority="58">
      <formula>LEN(TRIM(C15))=0</formula>
    </cfRule>
  </conditionalFormatting>
  <conditionalFormatting sqref="C17:C21">
    <cfRule type="containsBlanks" priority="46">
      <formula>LEN(TRIM(C17))=0</formula>
    </cfRule>
    <cfRule type="containsBlanks" dxfId="34" priority="45">
      <formula>LEN(TRIM(C17))=0</formula>
    </cfRule>
  </conditionalFormatting>
  <conditionalFormatting sqref="C25:C26">
    <cfRule type="containsBlanks" priority="42">
      <formula>LEN(TRIM(C25))=0</formula>
    </cfRule>
    <cfRule type="containsBlanks" dxfId="33" priority="41">
      <formula>LEN(TRIM(C25))=0</formula>
    </cfRule>
  </conditionalFormatting>
  <conditionalFormatting sqref="C29">
    <cfRule type="containsBlanks" priority="52">
      <formula>LEN(TRIM(C29))=0</formula>
    </cfRule>
    <cfRule type="containsBlanks" dxfId="32" priority="51">
      <formula>LEN(TRIM(C29))=0</formula>
    </cfRule>
  </conditionalFormatting>
  <conditionalFormatting sqref="C41:C46">
    <cfRule type="containsBlanks" priority="28">
      <formula>LEN(TRIM(C41))=0</formula>
    </cfRule>
    <cfRule type="containsBlanks" dxfId="31" priority="27">
      <formula>LEN(TRIM(C41))=0</formula>
    </cfRule>
  </conditionalFormatting>
  <conditionalFormatting sqref="C49:C55">
    <cfRule type="containsBlanks" dxfId="30" priority="21">
      <formula>LEN(TRIM(C49))=0</formula>
    </cfRule>
    <cfRule type="containsBlanks" priority="22">
      <formula>LEN(TRIM(C49))=0</formula>
    </cfRule>
  </conditionalFormatting>
  <conditionalFormatting sqref="C58">
    <cfRule type="containsBlanks" priority="50">
      <formula>LEN(TRIM(C58))=0</formula>
    </cfRule>
    <cfRule type="containsBlanks" dxfId="29" priority="49">
      <formula>LEN(TRIM(C58))=0</formula>
    </cfRule>
  </conditionalFormatting>
  <conditionalFormatting sqref="E42">
    <cfRule type="containsBlanks" dxfId="28" priority="33">
      <formula>LEN(TRIM(E42))=0</formula>
    </cfRule>
    <cfRule type="containsBlanks" priority="34">
      <formula>LEN(TRIM(E42))=0</formula>
    </cfRule>
  </conditionalFormatting>
  <conditionalFormatting sqref="E50">
    <cfRule type="containsBlanks" dxfId="27" priority="25">
      <formula>LEN(TRIM(E50))=0</formula>
    </cfRule>
    <cfRule type="containsBlanks" priority="26">
      <formula>LEN(TRIM(E50))=0</formula>
    </cfRule>
  </conditionalFormatting>
  <conditionalFormatting sqref="E54">
    <cfRule type="containsBlanks" priority="20">
      <formula>LEN(TRIM(E54))=0</formula>
    </cfRule>
    <cfRule type="containsBlanks" dxfId="26" priority="19">
      <formula>LEN(TRIM(E54))=0</formula>
    </cfRule>
  </conditionalFormatting>
  <conditionalFormatting sqref="F17:F19">
    <cfRule type="containsBlanks" priority="44">
      <formula>LEN(TRIM(F17))=0</formula>
    </cfRule>
    <cfRule type="containsBlanks" dxfId="25" priority="43">
      <formula>LEN(TRIM(F17))=0</formula>
    </cfRule>
  </conditionalFormatting>
  <conditionalFormatting sqref="F29">
    <cfRule type="containsBlanks" dxfId="24" priority="37">
      <formula>LEN(TRIM(F29))=0</formula>
    </cfRule>
    <cfRule type="containsBlanks" priority="38">
      <formula>LEN(TRIM(F29))=0</formula>
    </cfRule>
  </conditionalFormatting>
  <conditionalFormatting sqref="F32">
    <cfRule type="containsBlanks" dxfId="23" priority="29">
      <formula>LEN(TRIM(F32))=0</formula>
    </cfRule>
    <cfRule type="containsBlanks" priority="30">
      <formula>LEN(TRIM(F32))=0</formula>
    </cfRule>
  </conditionalFormatting>
  <conditionalFormatting sqref="F58">
    <cfRule type="containsBlanks" dxfId="22" priority="15">
      <formula>LEN(TRIM(F58))=0</formula>
    </cfRule>
    <cfRule type="containsBlanks" priority="16">
      <formula>LEN(TRIM(F58))=0</formula>
    </cfRule>
  </conditionalFormatting>
  <conditionalFormatting sqref="G42">
    <cfRule type="containsBlanks" dxfId="21" priority="9">
      <formula>LEN(TRIM(G42))=0</formula>
    </cfRule>
    <cfRule type="containsBlanks" priority="10">
      <formula>LEN(TRIM(G42))=0</formula>
    </cfRule>
  </conditionalFormatting>
  <conditionalFormatting sqref="H20:H21">
    <cfRule type="containsBlanks" dxfId="20" priority="39">
      <formula>LEN(TRIM(H20))=0</formula>
    </cfRule>
    <cfRule type="containsBlanks" priority="40">
      <formula>LEN(TRIM(H20))=0</formula>
    </cfRule>
  </conditionalFormatting>
  <conditionalFormatting sqref="H25">
    <cfRule type="containsBlanks" priority="12">
      <formula>LEN(TRIM(H25))=0</formula>
    </cfRule>
    <cfRule type="containsBlanks" dxfId="19" priority="11">
      <formula>LEN(TRIM(H25))=0</formula>
    </cfRule>
  </conditionalFormatting>
  <conditionalFormatting sqref="H50">
    <cfRule type="containsBlanks" priority="24">
      <formula>LEN(TRIM(H50))=0</formula>
    </cfRule>
    <cfRule type="containsBlanks" dxfId="18" priority="23">
      <formula>LEN(TRIM(H50))=0</formula>
    </cfRule>
  </conditionalFormatting>
  <conditionalFormatting sqref="H54">
    <cfRule type="containsBlanks" dxfId="17" priority="17">
      <formula>LEN(TRIM(H54))=0</formula>
    </cfRule>
    <cfRule type="containsBlanks" priority="18">
      <formula>LEN(TRIM(H54))=0</formula>
    </cfRule>
  </conditionalFormatting>
  <conditionalFormatting sqref="I12">
    <cfRule type="containsBlanks" priority="6">
      <formula>LEN(TRIM(I12))=0</formula>
    </cfRule>
    <cfRule type="containsBlanks" dxfId="16" priority="5">
      <formula>LEN(TRIM(I12))=0</formula>
    </cfRule>
  </conditionalFormatting>
  <conditionalFormatting sqref="I17:I19">
    <cfRule type="containsBlanks" dxfId="15" priority="53">
      <formula>LEN(TRIM(I17))=0</formula>
    </cfRule>
    <cfRule type="containsBlanks" priority="54">
      <formula>LEN(TRIM(I17))=0</formula>
    </cfRule>
  </conditionalFormatting>
  <conditionalFormatting sqref="I29">
    <cfRule type="containsBlanks" dxfId="14" priority="35">
      <formula>LEN(TRIM(I29))=0</formula>
    </cfRule>
    <cfRule type="containsBlanks" priority="36">
      <formula>LEN(TRIM(I29))=0</formula>
    </cfRule>
  </conditionalFormatting>
  <conditionalFormatting sqref="I42:I45">
    <cfRule type="containsBlanks" priority="4">
      <formula>LEN(TRIM(I42))=0</formula>
    </cfRule>
    <cfRule type="containsBlanks" dxfId="13" priority="3">
      <formula>LEN(TRIM(I42))=0</formula>
    </cfRule>
  </conditionalFormatting>
  <conditionalFormatting sqref="I58">
    <cfRule type="containsBlanks" priority="14">
      <formula>LEN(TRIM(I58))=0</formula>
    </cfRule>
    <cfRule type="containsBlanks" dxfId="12" priority="13">
      <formula>LEN(TRIM(I58))=0</formula>
    </cfRule>
  </conditionalFormatting>
  <dataValidations count="3">
    <dataValidation type="list" allowBlank="1" showInputMessage="1" showErrorMessage="1" sqref="C25:E25" xr:uid="{5093DBD5-3934-4FF8-B009-3D861AA67891}">
      <formula1>"Sim, Não"</formula1>
    </dataValidation>
    <dataValidation type="decimal" operator="greaterThan" allowBlank="1" showInputMessage="1" showErrorMessage="1" error="Digite apenas números!" sqref="I18" xr:uid="{A5380788-EB86-4E84-BAC2-B5EC2186CBF7}">
      <formula1>0</formula1>
    </dataValidation>
    <dataValidation type="decimal" operator="greaterThan" allowBlank="1" showInputMessage="1" showErrorMessage="1" error="Digite apenas números." sqref="F18:G18" xr:uid="{C350B315-FC20-4DC5-BC6E-0C0DDD4B9707}">
      <formula1>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0A6C968-1BED-476F-B84E-188C727F4D41}">
          <x14:formula1>
            <xm:f>Apoio!$H$13:$H$14</xm:f>
          </x14:formula1>
          <xm:sqref>C32 C12:E12 I12 C53:I53</xm:sqref>
        </x14:dataValidation>
        <x14:dataValidation type="list" allowBlank="1" showInputMessage="1" showErrorMessage="1" xr:uid="{7EF3949F-B35F-4882-B842-638A359A42E1}">
          <x14:formula1>
            <xm:f>Apoio!$F$4:$F$30</xm:f>
          </x14:formula1>
          <xm:sqref>G42</xm:sqref>
        </x14:dataValidation>
        <x14:dataValidation type="list" allowBlank="1" showInputMessage="1" showErrorMessage="1" xr:uid="{DE683FA7-ACAD-44B9-A9CB-58C1928C2B0C}">
          <x14:formula1>
            <xm:f>Apoio!$H$48:$H$49</xm:f>
          </x14:formula1>
          <xm:sqref>C19:I19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4C3E-E460-44DD-8138-BCD809E31E9F}">
  <dimension ref="A6:K38"/>
  <sheetViews>
    <sheetView showGridLines="0" showRowColHeaders="0" workbookViewId="0">
      <selection activeCell="C14" sqref="C14:D14"/>
    </sheetView>
  </sheetViews>
  <sheetFormatPr defaultColWidth="0" defaultRowHeight="12" x14ac:dyDescent="0.2"/>
  <cols>
    <col min="1" max="1" width="5.7109375" customWidth="1"/>
    <col min="2" max="2" width="26.140625" customWidth="1"/>
    <col min="3" max="3" width="16.28515625" customWidth="1"/>
    <col min="4" max="4" width="17.7109375" customWidth="1"/>
    <col min="5" max="5" width="42.7109375" customWidth="1"/>
    <col min="6" max="6" width="26" customWidth="1"/>
    <col min="7" max="7" width="9.42578125" customWidth="1"/>
    <col min="8" max="8" width="11.7109375" bestFit="1" customWidth="1"/>
    <col min="9" max="9" width="23.5703125" customWidth="1"/>
    <col min="10" max="10" width="5.7109375" customWidth="1"/>
    <col min="11" max="11" width="9.140625" customWidth="1"/>
    <col min="12" max="23" width="9.140625" hidden="1" customWidth="1"/>
    <col min="24" max="16384" width="9.140625" hidden="1"/>
  </cols>
  <sheetData>
    <row r="6" spans="2:9" ht="15" customHeight="1" x14ac:dyDescent="0.2">
      <c r="H6" s="1" t="s">
        <v>0</v>
      </c>
    </row>
    <row r="13" spans="2:9" x14ac:dyDescent="0.2">
      <c r="B13" s="220" t="s">
        <v>356</v>
      </c>
      <c r="C13" s="221"/>
      <c r="D13" s="221"/>
      <c r="E13" s="221"/>
      <c r="F13" s="221"/>
      <c r="G13" s="221"/>
      <c r="H13" s="221"/>
      <c r="I13" s="222"/>
    </row>
    <row r="14" spans="2:9" x14ac:dyDescent="0.2">
      <c r="B14" s="38" t="s">
        <v>357</v>
      </c>
      <c r="C14" s="80"/>
      <c r="D14" s="80"/>
      <c r="E14" s="38" t="s">
        <v>323</v>
      </c>
      <c r="F14" s="53"/>
      <c r="G14" s="38" t="s">
        <v>324</v>
      </c>
      <c r="H14" s="217"/>
      <c r="I14" s="217"/>
    </row>
    <row r="15" spans="2:9" ht="14.1" customHeight="1" x14ac:dyDescent="0.2">
      <c r="B15" s="38" t="s">
        <v>358</v>
      </c>
      <c r="C15" s="80"/>
      <c r="D15" s="80"/>
      <c r="E15" s="38" t="s">
        <v>323</v>
      </c>
      <c r="F15" s="53"/>
      <c r="G15" s="38" t="s">
        <v>324</v>
      </c>
      <c r="H15" s="217"/>
      <c r="I15" s="217"/>
    </row>
    <row r="16" spans="2:9" ht="14.1" customHeight="1" x14ac:dyDescent="0.2">
      <c r="B16" s="38" t="s">
        <v>359</v>
      </c>
      <c r="C16" s="80"/>
      <c r="D16" s="80"/>
      <c r="E16" s="38" t="s">
        <v>323</v>
      </c>
      <c r="F16" s="53"/>
      <c r="G16" s="38" t="s">
        <v>324</v>
      </c>
      <c r="H16" s="217"/>
      <c r="I16" s="217"/>
    </row>
    <row r="17" spans="2:9" ht="14.1" customHeight="1" x14ac:dyDescent="0.2"/>
    <row r="18" spans="2:9" ht="14.1" customHeight="1" x14ac:dyDescent="0.2">
      <c r="B18" s="220" t="s">
        <v>360</v>
      </c>
      <c r="C18" s="221"/>
      <c r="D18" s="221"/>
      <c r="E18" s="221"/>
      <c r="F18" s="221"/>
      <c r="G18" s="221"/>
      <c r="H18" s="221"/>
      <c r="I18" s="222"/>
    </row>
    <row r="19" spans="2:9" ht="15" x14ac:dyDescent="0.25">
      <c r="B19" s="223" t="s">
        <v>361</v>
      </c>
      <c r="C19" s="223"/>
      <c r="D19" s="223" t="s">
        <v>362</v>
      </c>
      <c r="E19" s="223"/>
      <c r="F19" s="223" t="s">
        <v>363</v>
      </c>
      <c r="G19" s="223"/>
      <c r="H19" s="223" t="s">
        <v>364</v>
      </c>
      <c r="I19" s="223"/>
    </row>
    <row r="20" spans="2:9" ht="14.1" customHeight="1" x14ac:dyDescent="0.2">
      <c r="B20" s="217"/>
      <c r="C20" s="217"/>
      <c r="D20" s="217"/>
      <c r="E20" s="217"/>
      <c r="F20" s="217"/>
      <c r="G20" s="217"/>
      <c r="H20" s="217"/>
      <c r="I20" s="217"/>
    </row>
    <row r="21" spans="2:9" x14ac:dyDescent="0.2">
      <c r="B21" s="217"/>
      <c r="C21" s="217"/>
      <c r="D21" s="217"/>
      <c r="E21" s="217"/>
      <c r="F21" s="217"/>
      <c r="G21" s="217"/>
      <c r="H21" s="217"/>
      <c r="I21" s="217"/>
    </row>
    <row r="22" spans="2:9" x14ac:dyDescent="0.2">
      <c r="B22" s="217"/>
      <c r="C22" s="217"/>
      <c r="D22" s="217"/>
      <c r="E22" s="217"/>
      <c r="F22" s="217"/>
      <c r="G22" s="217"/>
      <c r="H22" s="217"/>
      <c r="I22" s="217"/>
    </row>
    <row r="24" spans="2:9" x14ac:dyDescent="0.2">
      <c r="B24" s="220" t="s">
        <v>375</v>
      </c>
      <c r="C24" s="221"/>
      <c r="D24" s="221"/>
      <c r="E24" s="221"/>
      <c r="F24" s="221"/>
      <c r="G24" s="221"/>
      <c r="H24" s="221"/>
      <c r="I24" s="222"/>
    </row>
    <row r="25" spans="2:9" ht="15" x14ac:dyDescent="0.25">
      <c r="B25" s="223" t="s">
        <v>361</v>
      </c>
      <c r="C25" s="223"/>
      <c r="D25" s="223" t="s">
        <v>362</v>
      </c>
      <c r="E25" s="223"/>
      <c r="F25" s="223" t="s">
        <v>363</v>
      </c>
      <c r="G25" s="223"/>
      <c r="H25" s="223" t="s">
        <v>364</v>
      </c>
      <c r="I25" s="223"/>
    </row>
    <row r="26" spans="2:9" x14ac:dyDescent="0.2">
      <c r="B26" s="217"/>
      <c r="C26" s="217"/>
      <c r="D26" s="217"/>
      <c r="E26" s="217"/>
      <c r="F26" s="217"/>
      <c r="G26" s="217"/>
      <c r="H26" s="217"/>
      <c r="I26" s="217"/>
    </row>
    <row r="27" spans="2:9" x14ac:dyDescent="0.2">
      <c r="B27" s="217"/>
      <c r="C27" s="217"/>
      <c r="D27" s="217"/>
      <c r="E27" s="217"/>
      <c r="F27" s="217"/>
      <c r="G27" s="217"/>
      <c r="H27" s="217"/>
      <c r="I27" s="217"/>
    </row>
    <row r="28" spans="2:9" x14ac:dyDescent="0.2">
      <c r="B28" s="217"/>
      <c r="C28" s="217"/>
      <c r="D28" s="217"/>
      <c r="E28" s="217"/>
      <c r="F28" s="217"/>
      <c r="G28" s="217"/>
      <c r="H28" s="217"/>
      <c r="I28" s="217"/>
    </row>
    <row r="30" spans="2:9" x14ac:dyDescent="0.2">
      <c r="B30" s="218" t="s">
        <v>365</v>
      </c>
      <c r="C30" s="219"/>
      <c r="D30" s="219"/>
      <c r="E30" s="219"/>
    </row>
    <row r="31" spans="2:9" ht="12.75" x14ac:dyDescent="0.2">
      <c r="B31" s="55" t="s">
        <v>366</v>
      </c>
      <c r="C31" s="55" t="s">
        <v>367</v>
      </c>
      <c r="D31" s="55" t="s">
        <v>368</v>
      </c>
      <c r="E31" s="56" t="s">
        <v>376</v>
      </c>
    </row>
    <row r="32" spans="2:9" x14ac:dyDescent="0.2">
      <c r="B32" s="50" t="s">
        <v>369</v>
      </c>
      <c r="C32" s="54"/>
      <c r="D32" s="54"/>
      <c r="E32" s="54"/>
    </row>
    <row r="33" spans="2:5" x14ac:dyDescent="0.2">
      <c r="B33" s="50" t="s">
        <v>370</v>
      </c>
      <c r="C33" s="54"/>
      <c r="D33" s="54"/>
      <c r="E33" s="54"/>
    </row>
    <row r="34" spans="2:5" x14ac:dyDescent="0.2">
      <c r="B34" s="50" t="s">
        <v>371</v>
      </c>
      <c r="C34" s="54"/>
      <c r="D34" s="54"/>
      <c r="E34" s="54"/>
    </row>
    <row r="35" spans="2:5" x14ac:dyDescent="0.2">
      <c r="B35" s="50" t="s">
        <v>372</v>
      </c>
      <c r="C35" s="54"/>
      <c r="D35" s="54"/>
      <c r="E35" s="54"/>
    </row>
    <row r="36" spans="2:5" x14ac:dyDescent="0.2">
      <c r="B36" s="50" t="s">
        <v>373</v>
      </c>
      <c r="C36" s="54"/>
      <c r="D36" s="54"/>
      <c r="E36" s="54"/>
    </row>
    <row r="37" spans="2:5" x14ac:dyDescent="0.2">
      <c r="B37" s="50" t="s">
        <v>374</v>
      </c>
      <c r="C37" s="54"/>
      <c r="D37" s="54"/>
      <c r="E37" s="54"/>
    </row>
    <row r="38" spans="2:5" x14ac:dyDescent="0.2">
      <c r="B38" s="41"/>
      <c r="C38" s="41"/>
      <c r="D38" s="41"/>
    </row>
  </sheetData>
  <sheetProtection sheet="1" selectLockedCells="1"/>
  <mergeCells count="42">
    <mergeCell ref="B20:C20"/>
    <mergeCell ref="D20:E20"/>
    <mergeCell ref="F20:G20"/>
    <mergeCell ref="H20:I20"/>
    <mergeCell ref="B13:I13"/>
    <mergeCell ref="C14:D14"/>
    <mergeCell ref="H14:I14"/>
    <mergeCell ref="C15:D15"/>
    <mergeCell ref="H15:I15"/>
    <mergeCell ref="C16:D16"/>
    <mergeCell ref="H16:I16"/>
    <mergeCell ref="B18:I18"/>
    <mergeCell ref="B19:C19"/>
    <mergeCell ref="D19:E19"/>
    <mergeCell ref="F19:G19"/>
    <mergeCell ref="H19:I19"/>
    <mergeCell ref="B24:I24"/>
    <mergeCell ref="B25:C25"/>
    <mergeCell ref="D25:E25"/>
    <mergeCell ref="F25:G25"/>
    <mergeCell ref="H25:I25"/>
    <mergeCell ref="B21:C21"/>
    <mergeCell ref="D21:E21"/>
    <mergeCell ref="F21:G21"/>
    <mergeCell ref="H21:I21"/>
    <mergeCell ref="B22:C22"/>
    <mergeCell ref="D22:E22"/>
    <mergeCell ref="F22:G22"/>
    <mergeCell ref="H22:I22"/>
    <mergeCell ref="F26:G26"/>
    <mergeCell ref="H26:I26"/>
    <mergeCell ref="B27:C27"/>
    <mergeCell ref="D27:E27"/>
    <mergeCell ref="F27:G27"/>
    <mergeCell ref="H27:I27"/>
    <mergeCell ref="B26:C26"/>
    <mergeCell ref="D26:E26"/>
    <mergeCell ref="B28:C28"/>
    <mergeCell ref="D28:E28"/>
    <mergeCell ref="F28:G28"/>
    <mergeCell ref="H28:I28"/>
    <mergeCell ref="B30:E30"/>
  </mergeCells>
  <conditionalFormatting sqref="B16 E16:I16">
    <cfRule type="containsBlanks" dxfId="11" priority="49">
      <formula>LEN(TRIM(B16))=0</formula>
    </cfRule>
    <cfRule type="containsBlanks" priority="50">
      <formula>LEN(TRIM(B16))=0</formula>
    </cfRule>
  </conditionalFormatting>
  <conditionalFormatting sqref="B19:B22 F19:F22 D20:D22">
    <cfRule type="containsBlanks" dxfId="10" priority="45">
      <formula>LEN(TRIM(B19))=0</formula>
    </cfRule>
    <cfRule type="containsBlanks" priority="46">
      <formula>LEN(TRIM(B19))=0</formula>
    </cfRule>
  </conditionalFormatting>
  <conditionalFormatting sqref="B25:B28 F25:F28 D26:D28">
    <cfRule type="containsBlanks" dxfId="9" priority="3">
      <formula>LEN(TRIM(B25))=0</formula>
    </cfRule>
    <cfRule type="containsBlanks" priority="4">
      <formula>LEN(TRIM(B25))=0</formula>
    </cfRule>
  </conditionalFormatting>
  <conditionalFormatting sqref="C14:C16">
    <cfRule type="containsBlanks" dxfId="8" priority="33">
      <formula>LEN(TRIM(C14))=0</formula>
    </cfRule>
    <cfRule type="containsBlanks" priority="34">
      <formula>LEN(TRIM(C14))=0</formula>
    </cfRule>
  </conditionalFormatting>
  <conditionalFormatting sqref="C32:E37">
    <cfRule type="containsBlanks" dxfId="7" priority="7">
      <formula>LEN(TRIM(C32))=0</formula>
    </cfRule>
    <cfRule type="containsBlanks" priority="8">
      <formula>LEN(TRIM(C32))=0</formula>
    </cfRule>
  </conditionalFormatting>
  <conditionalFormatting sqref="C19:I19">
    <cfRule type="containsBlanks" dxfId="6" priority="47">
      <formula>LEN(TRIM(C19))=0</formula>
    </cfRule>
    <cfRule type="containsBlanks" priority="48">
      <formula>LEN(TRIM(C19))=0</formula>
    </cfRule>
  </conditionalFormatting>
  <conditionalFormatting sqref="C25:I25">
    <cfRule type="containsBlanks" dxfId="5" priority="5">
      <formula>LEN(TRIM(C25))=0</formula>
    </cfRule>
    <cfRule type="containsBlanks" priority="6">
      <formula>LEN(TRIM(C25))=0</formula>
    </cfRule>
  </conditionalFormatting>
  <conditionalFormatting sqref="F14:F15">
    <cfRule type="containsBlanks" dxfId="4" priority="31">
      <formula>LEN(TRIM(F14))=0</formula>
    </cfRule>
    <cfRule type="containsBlanks" priority="32">
      <formula>LEN(TRIM(F14))=0</formula>
    </cfRule>
  </conditionalFormatting>
  <conditionalFormatting sqref="H20:H22">
    <cfRule type="containsBlanks" dxfId="3" priority="43">
      <formula>LEN(TRIM(H20))=0</formula>
    </cfRule>
    <cfRule type="containsBlanks" priority="44">
      <formula>LEN(TRIM(H20))=0</formula>
    </cfRule>
  </conditionalFormatting>
  <conditionalFormatting sqref="H26:H28">
    <cfRule type="containsBlanks" dxfId="2" priority="1">
      <formula>LEN(TRIM(H26))=0</formula>
    </cfRule>
    <cfRule type="containsBlanks" priority="2">
      <formula>LEN(TRIM(H26))=0</formula>
    </cfRule>
  </conditionalFormatting>
  <conditionalFormatting sqref="H14:I15">
    <cfRule type="containsBlanks" dxfId="1" priority="29">
      <formula>LEN(TRIM(H14))=0</formula>
    </cfRule>
    <cfRule type="containsBlanks" priority="30">
      <formula>LEN(TRIM(H14))=0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4350-EC4B-4028-9811-8399BC6FEC0B}">
  <dimension ref="B1:AE87"/>
  <sheetViews>
    <sheetView showGridLines="0" workbookViewId="0">
      <selection activeCell="N5" sqref="N5"/>
    </sheetView>
  </sheetViews>
  <sheetFormatPr defaultRowHeight="12" x14ac:dyDescent="0.2"/>
  <cols>
    <col min="1" max="1" width="2.7109375" customWidth="1"/>
    <col min="2" max="2" width="39.140625" bestFit="1" customWidth="1"/>
    <col min="3" max="3" width="2.7109375" customWidth="1"/>
    <col min="4" max="4" width="39.140625" bestFit="1" customWidth="1"/>
    <col min="5" max="5" width="2.7109375" customWidth="1"/>
    <col min="6" max="6" width="50.42578125" bestFit="1" customWidth="1"/>
    <col min="7" max="7" width="2.7109375" customWidth="1"/>
    <col min="8" max="8" width="24" customWidth="1"/>
    <col min="9" max="9" width="2.7109375" customWidth="1"/>
    <col min="10" max="10" width="18.140625" bestFit="1" customWidth="1"/>
    <col min="11" max="11" width="2.7109375" customWidth="1"/>
    <col min="12" max="12" width="19.7109375" bestFit="1" customWidth="1"/>
    <col min="13" max="13" width="11" bestFit="1" customWidth="1"/>
    <col min="14" max="14" width="13.28515625" bestFit="1" customWidth="1"/>
    <col min="17" max="17" width="44.5703125" bestFit="1" customWidth="1"/>
    <col min="18" max="18" width="17" style="6" customWidth="1"/>
    <col min="19" max="19" width="8.140625" style="6" customWidth="1"/>
    <col min="20" max="20" width="19.7109375" style="6" bestFit="1" customWidth="1"/>
    <col min="21" max="21" width="15.42578125" style="6" bestFit="1" customWidth="1"/>
    <col min="22" max="22" width="12.42578125" style="6" bestFit="1" customWidth="1"/>
    <col min="23" max="23" width="10.7109375" style="6" bestFit="1" customWidth="1"/>
    <col min="24" max="25" width="6.140625" style="6" bestFit="1" customWidth="1"/>
    <col min="26" max="26" width="21" style="6" bestFit="1" customWidth="1"/>
    <col min="27" max="27" width="25.85546875" style="6" bestFit="1" customWidth="1"/>
    <col min="28" max="28" width="9.28515625" style="6" bestFit="1" customWidth="1"/>
    <col min="29" max="29" width="9.42578125" bestFit="1" customWidth="1"/>
    <col min="30" max="30" width="11.28515625" bestFit="1" customWidth="1"/>
    <col min="31" max="31" width="16.28515625" bestFit="1" customWidth="1"/>
  </cols>
  <sheetData>
    <row r="1" spans="2:31" x14ac:dyDescent="0.2">
      <c r="B1" s="3" t="s">
        <v>116</v>
      </c>
      <c r="L1" s="3" t="s">
        <v>117</v>
      </c>
      <c r="Q1" s="3" t="s">
        <v>118</v>
      </c>
      <c r="R1" s="13" t="s">
        <v>119</v>
      </c>
      <c r="S1" s="12">
        <v>0.1</v>
      </c>
      <c r="U1" s="14" t="s">
        <v>120</v>
      </c>
      <c r="V1" s="12">
        <v>-0.5</v>
      </c>
    </row>
    <row r="2" spans="2:31" ht="36" x14ac:dyDescent="0.2">
      <c r="Q2" s="8" t="s">
        <v>121</v>
      </c>
      <c r="R2" s="9" t="s">
        <v>122</v>
      </c>
      <c r="S2" s="9" t="s">
        <v>123</v>
      </c>
      <c r="T2" s="9" t="s">
        <v>93</v>
      </c>
      <c r="U2" s="9" t="s">
        <v>83</v>
      </c>
      <c r="V2" s="9" t="s">
        <v>84</v>
      </c>
      <c r="W2" s="9" t="s">
        <v>85</v>
      </c>
      <c r="X2" s="9" t="s">
        <v>86</v>
      </c>
      <c r="Y2" s="9" t="s">
        <v>124</v>
      </c>
      <c r="Z2" s="9" t="s">
        <v>87</v>
      </c>
      <c r="AA2" s="9" t="s">
        <v>90</v>
      </c>
      <c r="AB2" s="10" t="s">
        <v>99</v>
      </c>
      <c r="AC2" s="7" t="s">
        <v>101</v>
      </c>
      <c r="AD2" s="7" t="s">
        <v>102</v>
      </c>
      <c r="AE2" s="7" t="s">
        <v>107</v>
      </c>
    </row>
    <row r="3" spans="2:31" x14ac:dyDescent="0.2">
      <c r="B3" s="2" t="s">
        <v>125</v>
      </c>
      <c r="D3" s="2" t="s">
        <v>417</v>
      </c>
      <c r="F3" s="2" t="s">
        <v>126</v>
      </c>
      <c r="H3" s="2" t="s">
        <v>127</v>
      </c>
      <c r="J3" s="2" t="s">
        <v>128</v>
      </c>
      <c r="L3" s="2" t="s">
        <v>129</v>
      </c>
      <c r="M3" s="2" t="s">
        <v>130</v>
      </c>
      <c r="N3" s="2" t="s">
        <v>131</v>
      </c>
      <c r="O3" s="2" t="s">
        <v>132</v>
      </c>
      <c r="Q3" t="s">
        <v>82</v>
      </c>
      <c r="R3" s="6">
        <v>2</v>
      </c>
      <c r="S3" s="11">
        <f>1/R3</f>
        <v>0.5</v>
      </c>
      <c r="U3" s="6" t="s">
        <v>133</v>
      </c>
      <c r="V3" s="6" t="s">
        <v>133</v>
      </c>
      <c r="W3" s="6" t="s">
        <v>133</v>
      </c>
      <c r="X3" s="6" t="s">
        <v>133</v>
      </c>
    </row>
    <row r="4" spans="2:31" x14ac:dyDescent="0.2">
      <c r="B4" t="s">
        <v>416</v>
      </c>
      <c r="D4" t="s">
        <v>257</v>
      </c>
      <c r="F4" t="s">
        <v>135</v>
      </c>
      <c r="H4" t="s">
        <v>305</v>
      </c>
      <c r="J4" t="s">
        <v>136</v>
      </c>
      <c r="L4" t="s">
        <v>137</v>
      </c>
      <c r="M4">
        <v>20</v>
      </c>
      <c r="N4">
        <f>COUNTA(Geral!C12,Geral!C13,Geral!C14,Geral!H14,Geral!C15,Geral!H15,Geral!C16,Geral!C17,Geral!C18,Geral!C19,Geral!C20,Geral!H20,Geral!C21,Geral!C22,Geral!H22,Geral!C23,Geral!C24,Geral!C25,Geral!C26,Geral!H26)</f>
        <v>19</v>
      </c>
      <c r="O4" s="4">
        <f>N4/M4</f>
        <v>0.95</v>
      </c>
      <c r="Q4" t="s">
        <v>88</v>
      </c>
      <c r="R4" s="6">
        <v>2</v>
      </c>
      <c r="S4" s="11">
        <f t="shared" ref="S4:S25" si="0">1/R4</f>
        <v>0.5</v>
      </c>
      <c r="U4" s="6" t="s">
        <v>133</v>
      </c>
      <c r="V4" s="6" t="s">
        <v>133</v>
      </c>
      <c r="W4" s="6" t="s">
        <v>133</v>
      </c>
      <c r="X4" s="6" t="s">
        <v>133</v>
      </c>
    </row>
    <row r="5" spans="2:31" x14ac:dyDescent="0.2">
      <c r="B5" t="s">
        <v>134</v>
      </c>
      <c r="D5" t="s">
        <v>418</v>
      </c>
      <c r="F5" t="s">
        <v>139</v>
      </c>
      <c r="H5" t="s">
        <v>140</v>
      </c>
      <c r="J5" t="s">
        <v>141</v>
      </c>
      <c r="L5" t="s">
        <v>142</v>
      </c>
      <c r="M5">
        <v>16</v>
      </c>
      <c r="N5">
        <f>COUNTA(Comercial!C12,Comercial!C13,Comercial!G13,Comercial!C14,Comercial!G14,Comercial!G15,Comercial!C16,Comercial!C17,Comercial!G17,Comercial!C18,Comercial!C21,Comercial!C22,Comercial!C23,Comercial!G22,Comercial!G23)+IF(Comercial!I19&gt;0,1,0)</f>
        <v>15</v>
      </c>
      <c r="O5" s="4">
        <f>N5/M5</f>
        <v>0.9375</v>
      </c>
      <c r="Q5" t="s">
        <v>89</v>
      </c>
      <c r="R5" s="6">
        <v>3</v>
      </c>
      <c r="S5" s="11">
        <f t="shared" si="0"/>
        <v>0.33333333333333331</v>
      </c>
      <c r="U5" s="6" t="s">
        <v>133</v>
      </c>
      <c r="V5" s="6" t="s">
        <v>133</v>
      </c>
      <c r="X5" s="6" t="s">
        <v>133</v>
      </c>
      <c r="AA5" s="6" t="s">
        <v>133</v>
      </c>
    </row>
    <row r="6" spans="2:31" x14ac:dyDescent="0.2">
      <c r="B6" t="s">
        <v>138</v>
      </c>
      <c r="D6" t="s">
        <v>419</v>
      </c>
      <c r="F6" t="s">
        <v>144</v>
      </c>
      <c r="H6" t="s">
        <v>145</v>
      </c>
      <c r="J6" t="s">
        <v>146</v>
      </c>
      <c r="L6" t="s">
        <v>147</v>
      </c>
      <c r="M6">
        <f>19 + IF(Financeiro!C14="Outros (sujeito a aprovação)",1,0) + IF(Financeiro!C15="Outros (sujeito a aprovação)",1,0)</f>
        <v>21</v>
      </c>
      <c r="N6">
        <f>COUNTA(Financeiro!C11,Financeiro!C12,Financeiro!E12,Financeiro!C13,Financeiro!C14,Financeiro!C15,Financeiro!C16,Financeiro!C17,Financeiro!C18,Financeiro!C19,Financeiro!C20,Financeiro!E20,Financeiro!C21,Financeiro!E21,Financeiro!C22,Financeiro!E22,Financeiro!C23,Financeiro!E23,Financeiro!C24) + IF(AND(Financeiro!C14="Outros (sujeito a aprovação)",Financeiro!E14&lt;&gt;""),1,0) + IF(AND(Financeiro!C15="Outros (sujeito a aprovação)",Financeiro!E15&lt;&gt;""),1,0)</f>
        <v>21</v>
      </c>
      <c r="O6" s="4">
        <f>N6/M6</f>
        <v>1</v>
      </c>
      <c r="Q6" t="s">
        <v>91</v>
      </c>
      <c r="R6" s="6">
        <v>3</v>
      </c>
      <c r="S6" s="11">
        <f t="shared" si="0"/>
        <v>0.33333333333333331</v>
      </c>
      <c r="U6" s="6" t="s">
        <v>133</v>
      </c>
      <c r="V6" s="6" t="s">
        <v>133</v>
      </c>
      <c r="X6" s="6" t="s">
        <v>133</v>
      </c>
      <c r="AA6" s="6" t="s">
        <v>133</v>
      </c>
    </row>
    <row r="7" spans="2:31" x14ac:dyDescent="0.2">
      <c r="B7" t="s">
        <v>143</v>
      </c>
      <c r="F7" t="s">
        <v>149</v>
      </c>
      <c r="H7" t="s">
        <v>150</v>
      </c>
      <c r="J7" t="s">
        <v>151</v>
      </c>
      <c r="L7" t="s">
        <v>152</v>
      </c>
      <c r="M7">
        <v>57</v>
      </c>
      <c r="N7">
        <f>COUNTA(Operações!C12,Operações!I12,Operações!C15,Operações!C16,Operações!E16,Operações!G16,Operações!I16,Operações!C17,Operações!F17,Operações!I17,Operações!I18,Operações!F18,Operações!C18,Operações!C19,Operações!C20,Operações!H20,Operações!H21,Operações!C21,Operações!C25,Operações!H25,Operações!C26,Operações!C29,Operações!F29,Operações!I29,Operações!F32,Operações!C32,Operações!B35,Operações!C41,Operações!C42,Operações!E42,Operações!G42,Operações!I42,Operações!C43,Operações!F43,Operações!I43,Operações!C44,Operações!F44,Operações!I44,Operações!C45,Operações!F45,Operações!I45,Operações!C46,Operações!C49,Operações!C50,Operações!E50,Operações!H50,Operações!C51,Operações!C52,Operações!C53,Operações!C54,Operações!E54,Operações!H54,Operações!C55,Operações!C58,Operações!F58,Operações!I58,Operações!B61)</f>
        <v>34</v>
      </c>
      <c r="O7" s="4">
        <f>N7/M7</f>
        <v>0.59649122807017541</v>
      </c>
      <c r="Q7" t="s">
        <v>92</v>
      </c>
      <c r="R7" s="6">
        <v>2</v>
      </c>
      <c r="S7" s="11">
        <f t="shared" si="0"/>
        <v>0.5</v>
      </c>
      <c r="T7" s="6" t="s">
        <v>133</v>
      </c>
      <c r="AA7" s="6" t="s">
        <v>133</v>
      </c>
    </row>
    <row r="8" spans="2:31" x14ac:dyDescent="0.2">
      <c r="B8" t="s">
        <v>148</v>
      </c>
      <c r="F8" t="s">
        <v>154</v>
      </c>
      <c r="H8" t="s">
        <v>155</v>
      </c>
      <c r="L8" t="s">
        <v>303</v>
      </c>
      <c r="M8">
        <v>35</v>
      </c>
      <c r="N8">
        <f>COUNTA(CX!C14:D16,CX!F14:F16,CX!H14:I16,CX!B20:I20,CX!B26:I26,CX!C32:E37)</f>
        <v>0</v>
      </c>
      <c r="O8" s="4">
        <f>N8/M8</f>
        <v>0</v>
      </c>
      <c r="Q8" t="s">
        <v>94</v>
      </c>
      <c r="R8" s="6">
        <v>2</v>
      </c>
      <c r="S8" s="11">
        <f t="shared" si="0"/>
        <v>0.5</v>
      </c>
      <c r="T8" s="6" t="s">
        <v>133</v>
      </c>
      <c r="AA8" s="6" t="s">
        <v>133</v>
      </c>
    </row>
    <row r="9" spans="2:31" x14ac:dyDescent="0.2">
      <c r="B9" t="s">
        <v>153</v>
      </c>
      <c r="F9" t="s">
        <v>158</v>
      </c>
      <c r="H9" t="s">
        <v>159</v>
      </c>
      <c r="L9" t="s">
        <v>156</v>
      </c>
      <c r="M9">
        <f>IF(TI!C14 = "Plataforma",25,23)</f>
        <v>25</v>
      </c>
      <c r="N9">
        <f>COUNTA(TI!C12,TI!C13,TI!H13,TI!C14,TI!C16,TI!C18,TI!I18,TI!C19,TI!C20,TI!C21,TI!C22,TI!C36,TI!C38,TI!C41,TI!C42,TI!C43,TI!C46,TI!C47,TI!C51,TI!C52,TI!I47,TI!I49,TI!I51)+IF(TI!C14="Plataforma",COUNTA(TI!C15,TI!H15),0)</f>
        <v>5</v>
      </c>
      <c r="O9" s="4">
        <f>IF(N9/M9 &gt; 1,1, N9/M9)</f>
        <v>0.2</v>
      </c>
      <c r="Q9" t="s">
        <v>95</v>
      </c>
      <c r="R9" s="6">
        <v>2</v>
      </c>
      <c r="S9" s="11">
        <f t="shared" si="0"/>
        <v>0.5</v>
      </c>
      <c r="T9" s="6" t="s">
        <v>133</v>
      </c>
      <c r="X9" s="6" t="s">
        <v>133</v>
      </c>
    </row>
    <row r="10" spans="2:31" x14ac:dyDescent="0.2">
      <c r="B10" t="s">
        <v>157</v>
      </c>
      <c r="F10" t="s">
        <v>161</v>
      </c>
      <c r="H10" t="s">
        <v>306</v>
      </c>
      <c r="O10" s="4"/>
      <c r="Q10" t="s">
        <v>96</v>
      </c>
      <c r="R10" s="6">
        <v>2</v>
      </c>
      <c r="S10" s="11">
        <f t="shared" si="0"/>
        <v>0.5</v>
      </c>
      <c r="AA10" s="6" t="s">
        <v>133</v>
      </c>
    </row>
    <row r="11" spans="2:31" x14ac:dyDescent="0.2">
      <c r="B11" t="s">
        <v>160</v>
      </c>
      <c r="F11" t="s">
        <v>164</v>
      </c>
      <c r="J11" t="s">
        <v>165</v>
      </c>
      <c r="Q11" t="s">
        <v>97</v>
      </c>
      <c r="R11" s="6">
        <v>2</v>
      </c>
      <c r="S11" s="11">
        <f t="shared" si="0"/>
        <v>0.5</v>
      </c>
      <c r="U11" s="6" t="s">
        <v>133</v>
      </c>
      <c r="AA11" s="6" t="s">
        <v>133</v>
      </c>
    </row>
    <row r="12" spans="2:31" x14ac:dyDescent="0.2">
      <c r="B12" t="s">
        <v>163</v>
      </c>
      <c r="F12" t="s">
        <v>167</v>
      </c>
      <c r="H12" s="2" t="s">
        <v>162</v>
      </c>
      <c r="J12" t="s">
        <v>169</v>
      </c>
      <c r="Q12" t="s">
        <v>98</v>
      </c>
      <c r="R12" s="6">
        <v>1</v>
      </c>
      <c r="S12" s="11">
        <f t="shared" si="0"/>
        <v>1</v>
      </c>
      <c r="AB12" s="6" t="s">
        <v>133</v>
      </c>
    </row>
    <row r="13" spans="2:31" x14ac:dyDescent="0.2">
      <c r="B13" t="s">
        <v>166</v>
      </c>
      <c r="F13" t="s">
        <v>171</v>
      </c>
      <c r="H13" t="s">
        <v>69</v>
      </c>
      <c r="J13" t="s">
        <v>173</v>
      </c>
      <c r="Q13" t="s">
        <v>100</v>
      </c>
      <c r="R13" s="6">
        <v>2</v>
      </c>
      <c r="S13" s="11">
        <f t="shared" si="0"/>
        <v>0.5</v>
      </c>
      <c r="AA13"/>
      <c r="AC13" t="s">
        <v>133</v>
      </c>
      <c r="AD13" t="s">
        <v>133</v>
      </c>
    </row>
    <row r="14" spans="2:31" x14ac:dyDescent="0.2">
      <c r="B14" t="s">
        <v>170</v>
      </c>
      <c r="F14" t="s">
        <v>175</v>
      </c>
      <c r="H14" t="s">
        <v>168</v>
      </c>
      <c r="L14" s="2" t="s">
        <v>177</v>
      </c>
      <c r="Q14" t="s">
        <v>103</v>
      </c>
      <c r="R14" s="6">
        <v>2</v>
      </c>
      <c r="S14" s="11">
        <f t="shared" si="0"/>
        <v>0.5</v>
      </c>
      <c r="T14" s="6" t="s">
        <v>133</v>
      </c>
      <c r="V14" s="6" t="s">
        <v>133</v>
      </c>
      <c r="W14" s="6" t="s">
        <v>133</v>
      </c>
      <c r="AA14"/>
    </row>
    <row r="15" spans="2:31" x14ac:dyDescent="0.2">
      <c r="B15" t="s">
        <v>174</v>
      </c>
      <c r="F15" t="s">
        <v>179</v>
      </c>
      <c r="H15" t="s">
        <v>172</v>
      </c>
      <c r="L15" t="s">
        <v>181</v>
      </c>
      <c r="Q15" t="s">
        <v>104</v>
      </c>
      <c r="R15" s="6">
        <v>1</v>
      </c>
      <c r="S15" s="11">
        <f t="shared" si="0"/>
        <v>1</v>
      </c>
      <c r="T15" s="6" t="s">
        <v>133</v>
      </c>
      <c r="U15" s="6" t="s">
        <v>133</v>
      </c>
      <c r="AA15" s="6" t="s">
        <v>133</v>
      </c>
    </row>
    <row r="16" spans="2:31" x14ac:dyDescent="0.2">
      <c r="B16" t="s">
        <v>178</v>
      </c>
      <c r="F16" t="s">
        <v>183</v>
      </c>
      <c r="H16" s="2" t="s">
        <v>176</v>
      </c>
      <c r="Q16" t="s">
        <v>105</v>
      </c>
      <c r="R16" s="6">
        <v>2</v>
      </c>
      <c r="S16" s="11">
        <f t="shared" si="0"/>
        <v>0.5</v>
      </c>
      <c r="T16" s="6" t="s">
        <v>133</v>
      </c>
      <c r="U16" s="6" t="s">
        <v>133</v>
      </c>
      <c r="AA16" s="6" t="s">
        <v>133</v>
      </c>
    </row>
    <row r="17" spans="2:31" x14ac:dyDescent="0.2">
      <c r="B17" t="s">
        <v>182</v>
      </c>
      <c r="F17" t="s">
        <v>186</v>
      </c>
      <c r="H17" t="s">
        <v>180</v>
      </c>
      <c r="Q17" t="s">
        <v>106</v>
      </c>
      <c r="R17" s="6">
        <v>2</v>
      </c>
      <c r="S17" s="11">
        <f t="shared" si="0"/>
        <v>0.5</v>
      </c>
      <c r="T17" s="6" t="s">
        <v>133</v>
      </c>
      <c r="U17" s="6" t="s">
        <v>133</v>
      </c>
      <c r="AE17" t="s">
        <v>133</v>
      </c>
    </row>
    <row r="18" spans="2:31" x14ac:dyDescent="0.2">
      <c r="B18" t="s">
        <v>185</v>
      </c>
      <c r="F18" t="s">
        <v>188</v>
      </c>
      <c r="H18" t="s">
        <v>184</v>
      </c>
      <c r="J18" s="2" t="s">
        <v>190</v>
      </c>
      <c r="Q18" t="s">
        <v>108</v>
      </c>
      <c r="R18" s="6">
        <v>2</v>
      </c>
      <c r="S18" s="11">
        <f t="shared" si="0"/>
        <v>0.5</v>
      </c>
      <c r="T18" s="6" t="s">
        <v>133</v>
      </c>
      <c r="AE18" t="s">
        <v>133</v>
      </c>
    </row>
    <row r="19" spans="2:31" x14ac:dyDescent="0.2">
      <c r="B19" t="s">
        <v>187</v>
      </c>
      <c r="F19" t="s">
        <v>192</v>
      </c>
      <c r="J19" t="s">
        <v>194</v>
      </c>
      <c r="Q19" t="s">
        <v>109</v>
      </c>
      <c r="R19" s="6">
        <v>3</v>
      </c>
      <c r="S19" s="11">
        <f t="shared" si="0"/>
        <v>0.33333333333333331</v>
      </c>
      <c r="U19" s="6" t="s">
        <v>133</v>
      </c>
      <c r="V19" s="6" t="s">
        <v>133</v>
      </c>
      <c r="W19" s="6" t="s">
        <v>133</v>
      </c>
      <c r="X19" s="6" t="s">
        <v>133</v>
      </c>
      <c r="Z19" s="6" t="s">
        <v>133</v>
      </c>
      <c r="AA19" s="6" t="s">
        <v>133</v>
      </c>
    </row>
    <row r="20" spans="2:31" x14ac:dyDescent="0.2">
      <c r="B20" t="s">
        <v>191</v>
      </c>
      <c r="F20" t="s">
        <v>196</v>
      </c>
      <c r="H20" s="2" t="s">
        <v>189</v>
      </c>
      <c r="J20" t="s">
        <v>198</v>
      </c>
      <c r="Q20" t="s">
        <v>110</v>
      </c>
      <c r="R20" s="6">
        <v>2</v>
      </c>
      <c r="S20" s="11">
        <f t="shared" si="0"/>
        <v>0.5</v>
      </c>
      <c r="U20" s="6" t="s">
        <v>133</v>
      </c>
      <c r="AA20" s="6" t="s">
        <v>133</v>
      </c>
    </row>
    <row r="21" spans="2:31" x14ac:dyDescent="0.2">
      <c r="B21" t="s">
        <v>195</v>
      </c>
      <c r="F21" t="s">
        <v>200</v>
      </c>
      <c r="H21" t="s">
        <v>193</v>
      </c>
      <c r="Q21" t="s">
        <v>111</v>
      </c>
      <c r="R21" s="6">
        <v>3</v>
      </c>
      <c r="S21" s="11">
        <f t="shared" si="0"/>
        <v>0.33333333333333331</v>
      </c>
      <c r="U21" s="6" t="s">
        <v>133</v>
      </c>
      <c r="V21" s="6" t="s">
        <v>133</v>
      </c>
      <c r="W21" s="6" t="s">
        <v>133</v>
      </c>
      <c r="X21" s="6" t="s">
        <v>133</v>
      </c>
      <c r="AA21" s="6" t="s">
        <v>133</v>
      </c>
    </row>
    <row r="22" spans="2:31" x14ac:dyDescent="0.2">
      <c r="B22" t="s">
        <v>199</v>
      </c>
      <c r="F22" t="s">
        <v>202</v>
      </c>
      <c r="H22" t="s">
        <v>197</v>
      </c>
      <c r="J22" s="2" t="s">
        <v>204</v>
      </c>
      <c r="Q22" t="s">
        <v>112</v>
      </c>
      <c r="R22" s="6">
        <v>3</v>
      </c>
      <c r="S22" s="11">
        <f t="shared" si="0"/>
        <v>0.33333333333333331</v>
      </c>
      <c r="U22" s="6" t="s">
        <v>133</v>
      </c>
      <c r="V22" s="6" t="s">
        <v>133</v>
      </c>
      <c r="W22" s="6" t="s">
        <v>133</v>
      </c>
      <c r="X22" s="6" t="s">
        <v>133</v>
      </c>
      <c r="AA22" s="6" t="s">
        <v>133</v>
      </c>
    </row>
    <row r="23" spans="2:31" x14ac:dyDescent="0.2">
      <c r="B23" t="s">
        <v>201</v>
      </c>
      <c r="F23" t="s">
        <v>206</v>
      </c>
      <c r="J23" t="s">
        <v>208</v>
      </c>
      <c r="Q23" t="s">
        <v>113</v>
      </c>
      <c r="R23" s="6">
        <v>3</v>
      </c>
      <c r="S23" s="11">
        <f t="shared" si="0"/>
        <v>0.33333333333333331</v>
      </c>
      <c r="U23" s="6" t="s">
        <v>133</v>
      </c>
      <c r="V23" s="6" t="s">
        <v>133</v>
      </c>
      <c r="W23" s="6" t="s">
        <v>133</v>
      </c>
      <c r="X23" s="6" t="s">
        <v>133</v>
      </c>
      <c r="AA23" s="6" t="s">
        <v>133</v>
      </c>
    </row>
    <row r="24" spans="2:31" x14ac:dyDescent="0.2">
      <c r="B24" t="s">
        <v>205</v>
      </c>
      <c r="F24" t="s">
        <v>210</v>
      </c>
      <c r="H24" s="2" t="s">
        <v>203</v>
      </c>
      <c r="J24" t="s">
        <v>212</v>
      </c>
      <c r="Q24" t="s">
        <v>114</v>
      </c>
      <c r="R24" s="6">
        <v>2</v>
      </c>
      <c r="S24" s="11">
        <f t="shared" si="0"/>
        <v>0.5</v>
      </c>
      <c r="U24" s="6" t="s">
        <v>133</v>
      </c>
      <c r="AA24" s="6" t="s">
        <v>133</v>
      </c>
    </row>
    <row r="25" spans="2:31" x14ac:dyDescent="0.2">
      <c r="B25" t="s">
        <v>209</v>
      </c>
      <c r="F25" t="s">
        <v>214</v>
      </c>
      <c r="H25" t="s">
        <v>207</v>
      </c>
      <c r="J25" t="s">
        <v>215</v>
      </c>
      <c r="Q25" t="s">
        <v>115</v>
      </c>
      <c r="R25" s="6">
        <v>1</v>
      </c>
      <c r="S25" s="11">
        <f t="shared" si="0"/>
        <v>1</v>
      </c>
      <c r="T25" s="6" t="s">
        <v>133</v>
      </c>
      <c r="V25" s="6" t="s">
        <v>133</v>
      </c>
    </row>
    <row r="26" spans="2:31" x14ac:dyDescent="0.2">
      <c r="B26" t="s">
        <v>213</v>
      </c>
      <c r="F26" t="s">
        <v>217</v>
      </c>
      <c r="H26" t="s">
        <v>211</v>
      </c>
      <c r="J26" t="s">
        <v>219</v>
      </c>
    </row>
    <row r="27" spans="2:31" x14ac:dyDescent="0.2">
      <c r="B27" t="s">
        <v>216</v>
      </c>
      <c r="F27" t="s">
        <v>221</v>
      </c>
      <c r="J27" t="s">
        <v>223</v>
      </c>
    </row>
    <row r="28" spans="2:31" x14ac:dyDescent="0.2">
      <c r="B28" t="s">
        <v>220</v>
      </c>
      <c r="F28" t="s">
        <v>225</v>
      </c>
      <c r="H28" s="2" t="s">
        <v>218</v>
      </c>
      <c r="J28" t="s">
        <v>227</v>
      </c>
    </row>
    <row r="29" spans="2:31" x14ac:dyDescent="0.2">
      <c r="B29" t="s">
        <v>224</v>
      </c>
      <c r="F29" t="s">
        <v>229</v>
      </c>
      <c r="H29" t="s">
        <v>222</v>
      </c>
      <c r="J29" t="s">
        <v>304</v>
      </c>
      <c r="Q29" s="2" t="s">
        <v>231</v>
      </c>
    </row>
    <row r="30" spans="2:31" x14ac:dyDescent="0.2">
      <c r="B30" t="s">
        <v>228</v>
      </c>
      <c r="F30" t="s">
        <v>233</v>
      </c>
      <c r="H30" t="s">
        <v>226</v>
      </c>
      <c r="Q30" t="s">
        <v>234</v>
      </c>
    </row>
    <row r="31" spans="2:31" x14ac:dyDescent="0.2">
      <c r="B31" t="s">
        <v>232</v>
      </c>
      <c r="H31" t="s">
        <v>230</v>
      </c>
      <c r="J31" s="2" t="s">
        <v>237</v>
      </c>
      <c r="Q31" t="s">
        <v>238</v>
      </c>
    </row>
    <row r="32" spans="2:31" x14ac:dyDescent="0.2">
      <c r="B32" t="s">
        <v>235</v>
      </c>
      <c r="J32" t="s">
        <v>241</v>
      </c>
      <c r="Q32" t="s">
        <v>242</v>
      </c>
    </row>
    <row r="33" spans="2:17" x14ac:dyDescent="0.2">
      <c r="B33" t="s">
        <v>239</v>
      </c>
      <c r="H33" s="2" t="s">
        <v>236</v>
      </c>
      <c r="J33" t="s">
        <v>244</v>
      </c>
      <c r="Q33" t="s">
        <v>245</v>
      </c>
    </row>
    <row r="34" spans="2:17" x14ac:dyDescent="0.2">
      <c r="H34" t="s">
        <v>240</v>
      </c>
      <c r="Q34" t="s">
        <v>246</v>
      </c>
    </row>
    <row r="35" spans="2:17" x14ac:dyDescent="0.2">
      <c r="H35" t="s">
        <v>243</v>
      </c>
      <c r="I35" s="2"/>
      <c r="Q35" t="s">
        <v>248</v>
      </c>
    </row>
    <row r="36" spans="2:17" x14ac:dyDescent="0.2">
      <c r="Q36" t="s">
        <v>249</v>
      </c>
    </row>
    <row r="37" spans="2:17" x14ac:dyDescent="0.2">
      <c r="H37" s="2" t="s">
        <v>247</v>
      </c>
      <c r="J37" s="2" t="s">
        <v>128</v>
      </c>
      <c r="Q37" t="s">
        <v>250</v>
      </c>
    </row>
    <row r="38" spans="2:17" x14ac:dyDescent="0.2">
      <c r="H38" t="s">
        <v>165</v>
      </c>
      <c r="J38" t="s">
        <v>251</v>
      </c>
      <c r="Q38" t="s">
        <v>252</v>
      </c>
    </row>
    <row r="39" spans="2:17" x14ac:dyDescent="0.2">
      <c r="H39" t="s">
        <v>173</v>
      </c>
      <c r="J39" t="s">
        <v>253</v>
      </c>
      <c r="Q39" t="s">
        <v>254</v>
      </c>
    </row>
    <row r="40" spans="2:17" x14ac:dyDescent="0.2">
      <c r="H40" t="s">
        <v>169</v>
      </c>
      <c r="Q40" t="s">
        <v>256</v>
      </c>
    </row>
    <row r="41" spans="2:17" x14ac:dyDescent="0.2">
      <c r="J41" s="2" t="s">
        <v>258</v>
      </c>
      <c r="Q41" t="s">
        <v>259</v>
      </c>
    </row>
    <row r="42" spans="2:17" x14ac:dyDescent="0.2">
      <c r="H42" s="2" t="s">
        <v>255</v>
      </c>
      <c r="J42" t="s">
        <v>194</v>
      </c>
      <c r="Q42" t="s">
        <v>261</v>
      </c>
    </row>
    <row r="43" spans="2:17" x14ac:dyDescent="0.2">
      <c r="H43" t="s">
        <v>257</v>
      </c>
      <c r="J43" t="s">
        <v>198</v>
      </c>
      <c r="Q43" t="s">
        <v>263</v>
      </c>
    </row>
    <row r="44" spans="2:17" x14ac:dyDescent="0.2">
      <c r="H44" t="s">
        <v>260</v>
      </c>
      <c r="J44" t="s">
        <v>227</v>
      </c>
      <c r="Q44" t="s">
        <v>264</v>
      </c>
    </row>
    <row r="45" spans="2:17" x14ac:dyDescent="0.2">
      <c r="H45" t="s">
        <v>262</v>
      </c>
    </row>
    <row r="46" spans="2:17" x14ac:dyDescent="0.2">
      <c r="H46" t="s">
        <v>294</v>
      </c>
      <c r="J46" s="2" t="s">
        <v>266</v>
      </c>
    </row>
    <row r="47" spans="2:17" x14ac:dyDescent="0.2">
      <c r="H47" s="2" t="s">
        <v>265</v>
      </c>
      <c r="J47" t="s">
        <v>268</v>
      </c>
    </row>
    <row r="48" spans="2:17" x14ac:dyDescent="0.2">
      <c r="H48" t="s">
        <v>30</v>
      </c>
      <c r="J48" t="s">
        <v>269</v>
      </c>
    </row>
    <row r="49" spans="8:10" x14ac:dyDescent="0.2">
      <c r="H49" t="s">
        <v>267</v>
      </c>
      <c r="J49" t="s">
        <v>271</v>
      </c>
    </row>
    <row r="50" spans="8:10" x14ac:dyDescent="0.2">
      <c r="J50" t="s">
        <v>273</v>
      </c>
    </row>
    <row r="51" spans="8:10" x14ac:dyDescent="0.2">
      <c r="H51" s="2" t="s">
        <v>270</v>
      </c>
      <c r="J51" t="s">
        <v>275</v>
      </c>
    </row>
    <row r="52" spans="8:10" x14ac:dyDescent="0.2">
      <c r="H52" t="s">
        <v>272</v>
      </c>
      <c r="J52" t="s">
        <v>277</v>
      </c>
    </row>
    <row r="53" spans="8:10" x14ac:dyDescent="0.2">
      <c r="H53" t="s">
        <v>274</v>
      </c>
    </row>
    <row r="54" spans="8:10" x14ac:dyDescent="0.2">
      <c r="H54" t="s">
        <v>276</v>
      </c>
      <c r="J54" s="2" t="s">
        <v>280</v>
      </c>
    </row>
    <row r="55" spans="8:10" x14ac:dyDescent="0.2">
      <c r="H55" t="s">
        <v>278</v>
      </c>
      <c r="J55" t="s">
        <v>282</v>
      </c>
    </row>
    <row r="56" spans="8:10" x14ac:dyDescent="0.2">
      <c r="H56" s="2" t="s">
        <v>279</v>
      </c>
      <c r="J56" t="s">
        <v>284</v>
      </c>
    </row>
    <row r="57" spans="8:10" x14ac:dyDescent="0.2">
      <c r="H57" t="s">
        <v>281</v>
      </c>
      <c r="J57" t="s">
        <v>285</v>
      </c>
    </row>
    <row r="58" spans="8:10" x14ac:dyDescent="0.2">
      <c r="H58" t="s">
        <v>283</v>
      </c>
      <c r="J58" t="s">
        <v>286</v>
      </c>
    </row>
    <row r="60" spans="8:10" x14ac:dyDescent="0.2">
      <c r="J60" s="2" t="s">
        <v>287</v>
      </c>
    </row>
    <row r="61" spans="8:10" x14ac:dyDescent="0.2">
      <c r="J61" t="s">
        <v>289</v>
      </c>
    </row>
    <row r="62" spans="8:10" x14ac:dyDescent="0.2">
      <c r="J62" t="s">
        <v>291</v>
      </c>
    </row>
    <row r="63" spans="8:10" x14ac:dyDescent="0.2">
      <c r="H63" s="25" t="s">
        <v>288</v>
      </c>
      <c r="J63" t="s">
        <v>292</v>
      </c>
    </row>
    <row r="64" spans="8:10" x14ac:dyDescent="0.2">
      <c r="H64" t="s">
        <v>290</v>
      </c>
      <c r="J64" t="s">
        <v>293</v>
      </c>
    </row>
    <row r="65" spans="8:10" x14ac:dyDescent="0.2">
      <c r="H65" t="s">
        <v>186</v>
      </c>
      <c r="J65" t="s">
        <v>295</v>
      </c>
    </row>
    <row r="66" spans="8:10" x14ac:dyDescent="0.2">
      <c r="H66" t="s">
        <v>262</v>
      </c>
    </row>
    <row r="67" spans="8:10" x14ac:dyDescent="0.2">
      <c r="H67" t="s">
        <v>294</v>
      </c>
    </row>
    <row r="69" spans="8:10" x14ac:dyDescent="0.2">
      <c r="H69" s="25" t="s">
        <v>296</v>
      </c>
      <c r="J69" s="25" t="s">
        <v>393</v>
      </c>
    </row>
    <row r="70" spans="8:10" x14ac:dyDescent="0.2">
      <c r="H70" t="s">
        <v>297</v>
      </c>
      <c r="J70" t="s">
        <v>397</v>
      </c>
    </row>
    <row r="71" spans="8:10" x14ac:dyDescent="0.2">
      <c r="H71" t="s">
        <v>298</v>
      </c>
      <c r="J71" t="s">
        <v>398</v>
      </c>
    </row>
    <row r="72" spans="8:10" x14ac:dyDescent="0.2">
      <c r="H72" t="s">
        <v>299</v>
      </c>
      <c r="J72" t="s">
        <v>396</v>
      </c>
    </row>
    <row r="73" spans="8:10" x14ac:dyDescent="0.2">
      <c r="J73" t="s">
        <v>395</v>
      </c>
    </row>
    <row r="74" spans="8:10" x14ac:dyDescent="0.2">
      <c r="H74" s="25" t="s">
        <v>300</v>
      </c>
      <c r="J74" t="s">
        <v>394</v>
      </c>
    </row>
    <row r="75" spans="8:10" x14ac:dyDescent="0.2">
      <c r="H75" s="23" t="s">
        <v>301</v>
      </c>
      <c r="J75" t="s">
        <v>399</v>
      </c>
    </row>
    <row r="76" spans="8:10" x14ac:dyDescent="0.2">
      <c r="H76" t="s">
        <v>302</v>
      </c>
    </row>
    <row r="77" spans="8:10" x14ac:dyDescent="0.2">
      <c r="J77" s="25" t="s">
        <v>404</v>
      </c>
    </row>
    <row r="78" spans="8:10" x14ac:dyDescent="0.2">
      <c r="H78" s="25" t="s">
        <v>389</v>
      </c>
      <c r="J78" t="s">
        <v>405</v>
      </c>
    </row>
    <row r="79" spans="8:10" x14ac:dyDescent="0.2">
      <c r="H79" t="s">
        <v>390</v>
      </c>
      <c r="J79" t="s">
        <v>406</v>
      </c>
    </row>
    <row r="80" spans="8:10" x14ac:dyDescent="0.2">
      <c r="H80" t="s">
        <v>421</v>
      </c>
      <c r="J80" t="s">
        <v>407</v>
      </c>
    </row>
    <row r="81" spans="8:10" x14ac:dyDescent="0.2">
      <c r="H81" t="s">
        <v>391</v>
      </c>
    </row>
    <row r="82" spans="8:10" x14ac:dyDescent="0.2">
      <c r="J82" s="25" t="s">
        <v>409</v>
      </c>
    </row>
    <row r="83" spans="8:10" x14ac:dyDescent="0.2">
      <c r="J83" t="s">
        <v>410</v>
      </c>
    </row>
    <row r="84" spans="8:10" x14ac:dyDescent="0.2">
      <c r="J84" t="s">
        <v>364</v>
      </c>
    </row>
    <row r="85" spans="8:10" x14ac:dyDescent="0.2">
      <c r="J85" t="s">
        <v>411</v>
      </c>
    </row>
    <row r="86" spans="8:10" x14ac:dyDescent="0.2">
      <c r="J86" t="s">
        <v>412</v>
      </c>
    </row>
    <row r="87" spans="8:10" x14ac:dyDescent="0.2">
      <c r="J87" t="s">
        <v>413</v>
      </c>
    </row>
  </sheetData>
  <sortState xmlns:xlrd2="http://schemas.microsoft.com/office/spreadsheetml/2017/richdata2" ref="J70:J75">
    <sortCondition ref="J69:J75"/>
  </sortState>
  <conditionalFormatting sqref="F4:F30">
    <cfRule type="duplicateValues" dxfId="0" priority="11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E4B6CC11870D4A8D342A1136D032E5" ma:contentTypeVersion="15" ma:contentTypeDescription="Crie um novo documento." ma:contentTypeScope="" ma:versionID="7e4e520cd9582cf9458a2e63f1d285c9">
  <xsd:schema xmlns:xsd="http://www.w3.org/2001/XMLSchema" xmlns:xs="http://www.w3.org/2001/XMLSchema" xmlns:p="http://schemas.microsoft.com/office/2006/metadata/properties" xmlns:ns2="6e664776-690b-4e97-8ff3-c306909e0c2d" xmlns:ns3="2cdefe0f-3eb7-46f2-891c-243334f171ce" targetNamespace="http://schemas.microsoft.com/office/2006/metadata/properties" ma:root="true" ma:fieldsID="ef4f493476d2683c1fff02bda8885ef5" ns2:_="" ns3:_="">
    <xsd:import namespace="6e664776-690b-4e97-8ff3-c306909e0c2d"/>
    <xsd:import namespace="2cdefe0f-3eb7-46f2-891c-243334f171c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64776-690b-4e97-8ff3-c306909e0c2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88bffe8-9335-4ca6-a190-7fe7bf082622}" ma:internalName="TaxCatchAll" ma:showField="CatchAllData" ma:web="6e664776-690b-4e97-8ff3-c306909e0c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efe0f-3eb7-46f2-891c-243334f171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f6109393-029d-4258-a390-1e301e1e2b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664776-690b-4e97-8ff3-c306909e0c2d" xsi:nil="true"/>
    <lcf76f155ced4ddcb4097134ff3c332f xmlns="2cdefe0f-3eb7-46f2-891c-243334f171ce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0BABBE-393D-48A4-A96D-23B0033A4F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664776-690b-4e97-8ff3-c306909e0c2d"/>
    <ds:schemaRef ds:uri="2cdefe0f-3eb7-46f2-891c-243334f171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31D33A-9188-4F78-B2E8-5C13B0F5D0AB}">
  <ds:schemaRefs>
    <ds:schemaRef ds:uri="http://schemas.microsoft.com/office/2006/metadata/properties"/>
    <ds:schemaRef ds:uri="http://schemas.microsoft.com/office/infopath/2007/PartnerControls"/>
    <ds:schemaRef ds:uri="6e664776-690b-4e97-8ff3-c306909e0c2d"/>
    <ds:schemaRef ds:uri="2cdefe0f-3eb7-46f2-891c-243334f171ce"/>
  </ds:schemaRefs>
</ds:datastoreItem>
</file>

<file path=customXml/itemProps3.xml><?xml version="1.0" encoding="utf-8"?>
<ds:datastoreItem xmlns:ds="http://schemas.openxmlformats.org/officeDocument/2006/customXml" ds:itemID="{8AC264B4-B2C1-446C-9B7C-9FF8676B776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7BA48709-7757-439F-9267-85729D5330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Geral</vt:lpstr>
      <vt:lpstr>Comercial</vt:lpstr>
      <vt:lpstr>Financeiro</vt:lpstr>
      <vt:lpstr>TI</vt:lpstr>
      <vt:lpstr>Operações</vt:lpstr>
      <vt:lpstr>CX</vt:lpstr>
      <vt:lpstr>Apoio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Julio Cesar</dc:creator>
  <cp:keywords/>
  <dc:description/>
  <cp:lastModifiedBy>Geral CE</cp:lastModifiedBy>
  <cp:revision/>
  <dcterms:created xsi:type="dcterms:W3CDTF">2022-02-03T20:07:09Z</dcterms:created>
  <dcterms:modified xsi:type="dcterms:W3CDTF">2026-02-10T19:30:07Z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0x0101002AE4B6CC11870D4A8D342A1136D032E5</vt:lpwstr>
  </property>
  <property fmtid="{D5CDD505-2E9C-101B-9397-08002B2CF9AE}" pid="3" name="MediaServiceImageTags">
    <vt:lpwstr/>
  </property>
</Properties>
</file>